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Progress" sheetId="2" state="visible" r:id="rId2"/>
    <sheet xmlns:r="http://schemas.openxmlformats.org/officeDocument/2006/relationships" name="Daily" sheetId="3" state="visible" r:id="rId3"/>
    <sheet xmlns:r="http://schemas.openxmlformats.org/officeDocument/2006/relationships" name="Weekly" sheetId="4" state="visible" r:id="rId4"/>
    <sheet xmlns:r="http://schemas.openxmlformats.org/officeDocument/2006/relationships" name="Self-check" sheetId="5" state="visible" r:id="rId5"/>
    <sheet xmlns:r="http://schemas.openxmlformats.org/officeDocument/2006/relationships" name="Projects" sheetId="6" state="visible" r:id="rId6"/>
  </sheets>
  <definedNames>
    <definedName name="_xlnm._FilterDatabase" localSheetId="2" hidden="1">'Daily'!$A$1:$J$80</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color rgb="0017324D"/>
      <sz val="20"/>
    </font>
    <font>
      <color rgb="005B6B78"/>
      <sz val="12"/>
    </font>
    <font>
      <b val="1"/>
      <color rgb="001D6A86"/>
      <sz val="16"/>
    </font>
    <font>
      <b val="1"/>
      <color rgb="0017324D"/>
      <sz val="13"/>
    </font>
    <font>
      <b val="1"/>
    </font>
    <font>
      <color rgb="001D6A86"/>
      <u val="single"/>
    </font>
    <font>
      <name val="Calibri"/>
      <b val="1"/>
      <color rgb="00FFFFFF"/>
      <sz val="11"/>
    </font>
    <font>
      <i val="1"/>
      <color rgb="005B6B78"/>
    </font>
    <font>
      <b val="1"/>
      <color rgb="0017324D"/>
    </font>
    <font>
      <b val="1"/>
      <color rgb="001D6A86"/>
      <u val="single"/>
    </font>
    <font>
      <b val="1"/>
      <color rgb="0017324D"/>
      <sz val="16"/>
    </font>
    <font>
      <b val="1"/>
      <color rgb="001D6A86"/>
      <sz val="13"/>
    </font>
  </fonts>
  <fills count="6">
    <fill>
      <patternFill/>
    </fill>
    <fill>
      <patternFill patternType="gray125"/>
    </fill>
    <fill>
      <patternFill patternType="solid">
        <fgColor rgb="00FFF8E1"/>
      </patternFill>
    </fill>
    <fill>
      <patternFill patternType="solid">
        <fgColor rgb="0017324D"/>
      </patternFill>
    </fill>
    <fill>
      <patternFill patternType="solid">
        <fgColor rgb="00E3F0F5"/>
      </patternFill>
    </fill>
    <fill>
      <patternFill patternType="solid">
        <fgColor rgb="00FFFDF5"/>
      </patternFill>
    </fill>
  </fills>
  <borders count="2">
    <border>
      <left/>
      <right/>
      <top/>
      <bottom/>
      <diagonal/>
    </border>
    <border>
      <left style="thin">
        <color rgb="00D5DCE2"/>
      </left>
      <right style="thin">
        <color rgb="00D5DCE2"/>
      </right>
      <top style="thin">
        <color rgb="00D5DCE2"/>
      </top>
      <bottom style="thin">
        <color rgb="00D5DCE2"/>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0" fillId="2" borderId="1" applyAlignment="1" pivotButton="0" quotePrefix="0" xfId="0">
      <alignment vertical="top" wrapText="1"/>
    </xf>
    <xf numFmtId="0" fontId="11" fillId="0" borderId="0" pivotButton="0" quotePrefix="0" xfId="0"/>
    <xf numFmtId="0" fontId="5" fillId="0" borderId="0" pivotButton="0" quotePrefix="0" xfId="0"/>
    <xf numFmtId="0" fontId="12" fillId="0" borderId="0" pivotButton="0" quotePrefix="0" xfId="0"/>
    <xf numFmtId="9" fontId="12" fillId="0" borderId="0" pivotButton="0" quotePrefix="0" xfId="0"/>
    <xf numFmtId="0" fontId="7" fillId="3" borderId="1" applyAlignment="1" pivotButton="0" quotePrefix="0" xfId="0">
      <alignment vertical="center" wrapText="1"/>
    </xf>
    <xf numFmtId="0" fontId="0" fillId="4" borderId="1" applyAlignment="1" pivotButton="0" quotePrefix="0" xfId="0">
      <alignment vertical="top" wrapText="1"/>
    </xf>
    <xf numFmtId="0" fontId="6" fillId="0" borderId="1" applyAlignment="1" pivotButton="0" quotePrefix="0" xfId="0">
      <alignment vertical="top" wrapText="1"/>
    </xf>
    <xf numFmtId="0" fontId="0" fillId="0" borderId="1" applyAlignment="1" pivotButton="0" quotePrefix="0" xfId="0">
      <alignment vertical="top" wrapText="1"/>
    </xf>
    <xf numFmtId="0" fontId="0" fillId="5" borderId="1" applyAlignment="1" pivotButton="0" quotePrefix="0" xfId="0">
      <alignment vertical="top" wrapText="1"/>
    </xf>
    <xf numFmtId="0" fontId="8" fillId="0" borderId="1" applyAlignment="1" pivotButton="0" quotePrefix="0" xfId="0">
      <alignment vertical="top" wrapText="1"/>
    </xf>
    <xf numFmtId="0" fontId="9" fillId="0" borderId="1" pivotButton="0" quotePrefix="0" xfId="0"/>
    <xf numFmtId="0" fontId="8" fillId="0" borderId="0" pivotButton="0" quotePrefix="0" xfId="0"/>
    <xf numFmtId="0" fontId="10" fillId="0" borderId="1" applyAlignment="1" pivotButton="0" quotePrefix="0" xfId="0">
      <alignment vertical="top" wrapText="1"/>
    </xf>
  </cellXfs>
  <cellStyles count="1">
    <cellStyle name="Normal" xfId="0" builtinId="0" hidden="0"/>
  </cellStyles>
  <dxfs count="4">
    <dxf>
      <fill>
        <patternFill patternType="solid">
          <fgColor rgb="00DCF2E3"/>
        </patternFill>
      </fill>
    </dxf>
    <dxf>
      <fill>
        <patternFill patternType="solid">
          <fgColor rgb="00F8E0E0"/>
        </patternFill>
      </fill>
    </dxf>
    <dxf>
      <fill>
        <patternFill patternType="solid">
          <fgColor rgb="00FFF1D6"/>
        </patternFill>
      </fill>
    </dxf>
    <dxf>
      <fill>
        <patternFill patternType="solid">
          <fgColor rgb="00ECEC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TechSckoolByVijay/75-day-career-upgrade#the-map" TargetMode="External" Id="rId1"/><Relationship Type="http://schemas.openxmlformats.org/officeDocument/2006/relationships/hyperlink" Target="https://github.com/TechSckoolByVijay/75-day-career-upgrade" TargetMode="External" Id="rId2"/><Relationship Type="http://schemas.openxmlformats.org/officeDocument/2006/relationships/hyperlink" Target="https://www.readyforprod.cloud/bundles/ai-enabled-devops-sre?coupon=UPGRADE75" TargetMode="External" Id="rId3"/></Relationships>
</file>

<file path=xl/worksheets/_rels/sheet3.xml.rels><Relationships xmlns="http://schemas.openxmlformats.org/package/2006/relationships"><Relationship Type="http://schemas.openxmlformats.org/officeDocument/2006/relationships/hyperlink" Target="https://github.com/TechSckoolByVijay/75-day-career-upgrade/tree/main/week-00-setup" TargetMode="External" Id="rId1"/><Relationship Type="http://schemas.openxmlformats.org/officeDocument/2006/relationships/hyperlink" Target="https://github.com/TechSckoolByVijay/75-day-career-upgrade/tree/main/week-00-setup" TargetMode="External" Id="rId2"/><Relationship Type="http://schemas.openxmlformats.org/officeDocument/2006/relationships/hyperlink" Target="https://ubuntu.com/tutorials/command-line-for-beginners" TargetMode="External" Id="rId3"/><Relationship Type="http://schemas.openxmlformats.org/officeDocument/2006/relationships/hyperlink" Target="https://linuxjourney.com/" TargetMode="External" Id="rId4"/><Relationship Type="http://schemas.openxmlformats.org/officeDocument/2006/relationships/hyperlink" Target="https://linuxjourney.com/" TargetMode="External" Id="rId5"/><Relationship Type="http://schemas.openxmlformats.org/officeDocument/2006/relationships/hyperlink" Target="https://docs.github.com/en/get-started/start-your-journey/hello-world" TargetMode="External" Id="rId6"/><Relationship Type="http://schemas.openxmlformats.org/officeDocument/2006/relationships/hyperlink" Target="https://vijaysaini.com/blog-post.html?slug=ai-at-work-01-fit-in-dont-replace" TargetMode="External" Id="rId7"/><Relationship Type="http://schemas.openxmlformats.org/officeDocument/2006/relationships/hyperlink" Target="https://www.readyforprod.cloud/courses/chatgpt-for-devops" TargetMode="External" Id="rId8"/><Relationship Type="http://schemas.openxmlformats.org/officeDocument/2006/relationships/hyperlink" Target="https://www.readyforprod.cloud/courses/chatgpt-for-devops" TargetMode="External" Id="rId9"/><Relationship Type="http://schemas.openxmlformats.org/officeDocument/2006/relationships/hyperlink" Target="https://docs.docker.com/get-started/" TargetMode="External" Id="rId10"/><Relationship Type="http://schemas.openxmlformats.org/officeDocument/2006/relationships/hyperlink" Target="https://docs.docker.com/get-started/" TargetMode="External" Id="rId11"/><Relationship Type="http://schemas.openxmlformats.org/officeDocument/2006/relationships/hyperlink" Target="https://docs.docker.com/get-started/workshop/" TargetMode="External" Id="rId12"/><Relationship Type="http://schemas.openxmlformats.org/officeDocument/2006/relationships/hyperlink" Target="https://www.readyforprod.cloud/courses/chatgpt-for-devops" TargetMode="External" Id="rId13"/><Relationship Type="http://schemas.openxmlformats.org/officeDocument/2006/relationships/hyperlink" Target="https://docs.docker.com/build/concepts/context/#dockerignore-files" TargetMode="External" Id="rId14"/><Relationship Type="http://schemas.openxmlformats.org/officeDocument/2006/relationships/hyperlink" Target="https://docs.docker.com/compose/gettingstarted/" TargetMode="External" Id="rId15"/><Relationship Type="http://schemas.openxmlformats.org/officeDocument/2006/relationships/hyperlink" Target="https://github.com/TechSckoolByVijay/75-day-career-upgrade/tree/main/apps/notes-app" TargetMode="External" Id="rId16"/><Relationship Type="http://schemas.openxmlformats.org/officeDocument/2006/relationships/hyperlink" Target="https://www.readyforprod.cloud/courses/chatgpt-for-devops" TargetMode="External" Id="rId17"/><Relationship Type="http://schemas.openxmlformats.org/officeDocument/2006/relationships/hyperlink" Target="https://kubernetes.io/docs/tutorials/kubernetes-basics/" TargetMode="External" Id="rId18"/><Relationship Type="http://schemas.openxmlformats.org/officeDocument/2006/relationships/hyperlink" Target="https://www.readyforprod.cloud/courses/hands-on-kubernetes" TargetMode="External" Id="rId19"/><Relationship Type="http://schemas.openxmlformats.org/officeDocument/2006/relationships/hyperlink" Target="https://kubernetes.io/docs/concepts/workloads/pods/" TargetMode="External" Id="rId20"/><Relationship Type="http://schemas.openxmlformats.org/officeDocument/2006/relationships/hyperlink" Target="https://www.readyforprod.cloud/courses/hands-on-kubernetes" TargetMode="External" Id="rId21"/><Relationship Type="http://schemas.openxmlformats.org/officeDocument/2006/relationships/hyperlink" Target="https://kubernetes.io/docs/concepts/workloads/controllers/deployment/" TargetMode="External" Id="rId22"/><Relationship Type="http://schemas.openxmlformats.org/officeDocument/2006/relationships/hyperlink" Target="https://www.readyforprod.cloud/courses/hands-on-kubernetes" TargetMode="External" Id="rId23"/><Relationship Type="http://schemas.openxmlformats.org/officeDocument/2006/relationships/hyperlink" Target="https://kubernetes.io/docs/concepts/services-networking/service/" TargetMode="External" Id="rId24"/><Relationship Type="http://schemas.openxmlformats.org/officeDocument/2006/relationships/hyperlink" Target="https://www.readyforprod.cloud/courses/hands-on-kubernetes" TargetMode="External" Id="rId25"/><Relationship Type="http://schemas.openxmlformats.org/officeDocument/2006/relationships/hyperlink" Target="https://kubernetes.io/docs/reference/kubectl/quick-reference/" TargetMode="External" Id="rId26"/><Relationship Type="http://schemas.openxmlformats.org/officeDocument/2006/relationships/hyperlink" Target="https://www.readyforprod.cloud/courses/hands-on-kubernetes" TargetMode="External" Id="rId27"/><Relationship Type="http://schemas.openxmlformats.org/officeDocument/2006/relationships/hyperlink" Target="https://github.com/TechSckoolByVijay/75-day-career-upgrade/tree/main/week-03-kubernetes-1" TargetMode="External" Id="rId28"/><Relationship Type="http://schemas.openxmlformats.org/officeDocument/2006/relationships/hyperlink" Target="https://www.readyforprod.cloud/courses/k8s-production-readiness" TargetMode="External" Id="rId29"/><Relationship Type="http://schemas.openxmlformats.org/officeDocument/2006/relationships/hyperlink" Target="https://github.com/TechSckoolByVijay/75-day-career-upgrade/tree/main/week-04-kubernetes-2" TargetMode="External" Id="rId30"/><Relationship Type="http://schemas.openxmlformats.org/officeDocument/2006/relationships/hyperlink" Target="https://www.readyforprod.cloud/courses/hands-on-kubernetes" TargetMode="External" Id="rId31"/><Relationship Type="http://schemas.openxmlformats.org/officeDocument/2006/relationships/hyperlink" Target="https://github.com/TechSckoolByVijay/75-day-career-upgrade/tree/main/week-04-kubernetes-2" TargetMode="External" Id="rId32"/><Relationship Type="http://schemas.openxmlformats.org/officeDocument/2006/relationships/hyperlink" Target="https://www.readyforprod.cloud/courses/hands-on-kubernetes" TargetMode="External" Id="rId33"/><Relationship Type="http://schemas.openxmlformats.org/officeDocument/2006/relationships/hyperlink" Target="https://github.com/TechSckoolByVijay/75-day-career-upgrade/tree/main/week-04-kubernetes-2" TargetMode="External" Id="rId34"/><Relationship Type="http://schemas.openxmlformats.org/officeDocument/2006/relationships/hyperlink" Target="https://www.readyforprod.cloud/courses/hands-on-kubernetes" TargetMode="External" Id="rId35"/><Relationship Type="http://schemas.openxmlformats.org/officeDocument/2006/relationships/hyperlink" Target="https://github.com/TechSckoolByVijay/75-day-career-upgrade/tree/main/week-04-kubernetes-2" TargetMode="External" Id="rId36"/><Relationship Type="http://schemas.openxmlformats.org/officeDocument/2006/relationships/hyperlink" Target="https://www.readyforprod.cloud/courses/hands-on-kubernetes" TargetMode="External" Id="rId37"/><Relationship Type="http://schemas.openxmlformats.org/officeDocument/2006/relationships/hyperlink" Target="https://github.com/TechSckoolByVijay/75-day-career-upgrade/tree/main/week-04-kubernetes-2" TargetMode="External" Id="rId38"/><Relationship Type="http://schemas.openxmlformats.org/officeDocument/2006/relationships/hyperlink" Target="https://www.readyforprod.cloud/courses/hands-on-kubernetes" TargetMode="External" Id="rId39"/><Relationship Type="http://schemas.openxmlformats.org/officeDocument/2006/relationships/hyperlink" Target="https://github.com/TechSckoolByVijay/75-day-career-upgrade/tree/main/week-04-kubernetes-2" TargetMode="External" Id="rId40"/><Relationship Type="http://schemas.openxmlformats.org/officeDocument/2006/relationships/hyperlink" Target="https://www.readyforprod.cloud/courses/hands-on-kubernetes" TargetMode="External" Id="rId41"/><Relationship Type="http://schemas.openxmlformats.org/officeDocument/2006/relationships/hyperlink" Target="https://github.com/TechSckoolByVijay/75-day-career-upgrade/tree/main/week-04-kubernetes-2" TargetMode="External" Id="rId42"/><Relationship Type="http://schemas.openxmlformats.org/officeDocument/2006/relationships/hyperlink" Target="https://www.readyforprod.cloud/courses/hands-on-kubernetes" TargetMode="External" Id="rId43"/><Relationship Type="http://schemas.openxmlformats.org/officeDocument/2006/relationships/hyperlink" Target="https://github.com/TechSckoolByVijay/75-day-career-upgrade/tree/main/week-05-checkpoint-1" TargetMode="External" Id="rId44"/><Relationship Type="http://schemas.openxmlformats.org/officeDocument/2006/relationships/hyperlink" Target="https://www.readyforprod.cloud/courses/hands-on-kubernetes" TargetMode="External" Id="rId45"/><Relationship Type="http://schemas.openxmlformats.org/officeDocument/2006/relationships/hyperlink" Target="https://github.com/TechSckoolByVijay/75-day-career-upgrade/tree/main/week-05-checkpoint-1" TargetMode="External" Id="rId46"/><Relationship Type="http://schemas.openxmlformats.org/officeDocument/2006/relationships/hyperlink" Target="https://www.readyforprod.cloud/courses/hands-on-kubernetes" TargetMode="External" Id="rId47"/><Relationship Type="http://schemas.openxmlformats.org/officeDocument/2006/relationships/hyperlink" Target="https://github.com/TechSckoolByVijay/75-day-career-upgrade/tree/main/week-05-checkpoint-1" TargetMode="External" Id="rId48"/><Relationship Type="http://schemas.openxmlformats.org/officeDocument/2006/relationships/hyperlink" Target="https://www.readyforprod.cloud/courses/hands-on-kubernetes" TargetMode="External" Id="rId49"/><Relationship Type="http://schemas.openxmlformats.org/officeDocument/2006/relationships/hyperlink" Target="https://github.com/TechSckoolByVijay/75-day-career-upgrade/tree/main/week-05-checkpoint-1" TargetMode="External" Id="rId50"/><Relationship Type="http://schemas.openxmlformats.org/officeDocument/2006/relationships/hyperlink" Target="https://www.readyforprod.cloud/courses/hands-on-kubernetes" TargetMode="External" Id="rId51"/><Relationship Type="http://schemas.openxmlformats.org/officeDocument/2006/relationships/hyperlink" Target="https://github.com/TechSckoolByVijay/75-day-career-upgrade/tree/main/week-05-checkpoint-1" TargetMode="External" Id="rId52"/><Relationship Type="http://schemas.openxmlformats.org/officeDocument/2006/relationships/hyperlink" Target="https://www.readyforprod.cloud/courses/hands-on-kubernetes" TargetMode="External" Id="rId53"/><Relationship Type="http://schemas.openxmlformats.org/officeDocument/2006/relationships/hyperlink" Target="https://github.com/TechSckoolByVijay/75-day-career-upgrade/tree/main/week-05-checkpoint-1" TargetMode="External" Id="rId54"/><Relationship Type="http://schemas.openxmlformats.org/officeDocument/2006/relationships/hyperlink" Target="https://www.readyforprod.cloud/courses/hands-on-kubernetes" TargetMode="External" Id="rId55"/><Relationship Type="http://schemas.openxmlformats.org/officeDocument/2006/relationships/hyperlink" Target="https://github.com/TechSckoolByVijay/75-day-career-upgrade/tree/main/week-05-checkpoint-1" TargetMode="External" Id="rId56"/><Relationship Type="http://schemas.openxmlformats.org/officeDocument/2006/relationships/hyperlink" Target="https://www.readyforprod.cloud/courses/hands-on-kubernetes" TargetMode="External" Id="rId57"/><Relationship Type="http://schemas.openxmlformats.org/officeDocument/2006/relationships/hyperlink" Target="https://github.com/TechSckoolByVijay/75-day-career-upgrade/tree/main/week-06-cicd" TargetMode="External" Id="rId58"/><Relationship Type="http://schemas.openxmlformats.org/officeDocument/2006/relationships/hyperlink" Target="https://www.readyforprod.cloud/courses/learning-github-actions" TargetMode="External" Id="rId59"/><Relationship Type="http://schemas.openxmlformats.org/officeDocument/2006/relationships/hyperlink" Target="https://github.com/TechSckoolByVijay/75-day-career-upgrade/tree/main/week-06-cicd" TargetMode="External" Id="rId60"/><Relationship Type="http://schemas.openxmlformats.org/officeDocument/2006/relationships/hyperlink" Target="https://www.readyforprod.cloud/courses/learning-github-actions" TargetMode="External" Id="rId61"/><Relationship Type="http://schemas.openxmlformats.org/officeDocument/2006/relationships/hyperlink" Target="https://github.com/TechSckoolByVijay/75-day-career-upgrade/tree/main/week-06-cicd" TargetMode="External" Id="rId62"/><Relationship Type="http://schemas.openxmlformats.org/officeDocument/2006/relationships/hyperlink" Target="https://www.readyforprod.cloud/courses/learning-github-actions" TargetMode="External" Id="rId63"/><Relationship Type="http://schemas.openxmlformats.org/officeDocument/2006/relationships/hyperlink" Target="https://github.com/TechSckoolByVijay/75-day-career-upgrade/tree/main/week-06-cicd" TargetMode="External" Id="rId64"/><Relationship Type="http://schemas.openxmlformats.org/officeDocument/2006/relationships/hyperlink" Target="https://www.readyforprod.cloud/courses/learning-github-actions" TargetMode="External" Id="rId65"/><Relationship Type="http://schemas.openxmlformats.org/officeDocument/2006/relationships/hyperlink" Target="https://github.com/TechSckoolByVijay/75-day-career-upgrade/tree/main/week-06-cicd" TargetMode="External" Id="rId66"/><Relationship Type="http://schemas.openxmlformats.org/officeDocument/2006/relationships/hyperlink" Target="https://www.readyforprod.cloud/courses/learning-github-actions" TargetMode="External" Id="rId67"/><Relationship Type="http://schemas.openxmlformats.org/officeDocument/2006/relationships/hyperlink" Target="https://github.com/TechSckoolByVijay/75-day-career-upgrade/tree/main/week-06-cicd" TargetMode="External" Id="rId68"/><Relationship Type="http://schemas.openxmlformats.org/officeDocument/2006/relationships/hyperlink" Target="https://www.readyforprod.cloud/courses/learning-github-actions" TargetMode="External" Id="rId69"/><Relationship Type="http://schemas.openxmlformats.org/officeDocument/2006/relationships/hyperlink" Target="https://github.com/TechSckoolByVijay/75-day-career-upgrade/tree/main/week-06-cicd" TargetMode="External" Id="rId70"/><Relationship Type="http://schemas.openxmlformats.org/officeDocument/2006/relationships/hyperlink" Target="https://www.readyforprod.cloud/courses/learning-github-actions" TargetMode="External" Id="rId71"/><Relationship Type="http://schemas.openxmlformats.org/officeDocument/2006/relationships/hyperlink" Target="https://github.com/TechSckoolByVijay/75-day-career-upgrade/tree/main/week-07-cloud" TargetMode="External" Id="rId72"/><Relationship Type="http://schemas.openxmlformats.org/officeDocument/2006/relationships/hyperlink" Target="https://www.readyforprod.cloud/courses/az900-azure-fundamentals" TargetMode="External" Id="rId73"/><Relationship Type="http://schemas.openxmlformats.org/officeDocument/2006/relationships/hyperlink" Target="https://github.com/TechSckoolByVijay/75-day-career-upgrade/tree/main/week-07-cloud" TargetMode="External" Id="rId74"/><Relationship Type="http://schemas.openxmlformats.org/officeDocument/2006/relationships/hyperlink" Target="https://www.readyforprod.cloud/courses/az900-azure-fundamentals" TargetMode="External" Id="rId75"/><Relationship Type="http://schemas.openxmlformats.org/officeDocument/2006/relationships/hyperlink" Target="https://github.com/TechSckoolByVijay/75-day-career-upgrade/tree/main/week-07-cloud" TargetMode="External" Id="rId76"/><Relationship Type="http://schemas.openxmlformats.org/officeDocument/2006/relationships/hyperlink" Target="https://www.readyforprod.cloud/courses/az900-azure-fundamentals" TargetMode="External" Id="rId77"/><Relationship Type="http://schemas.openxmlformats.org/officeDocument/2006/relationships/hyperlink" Target="https://github.com/TechSckoolByVijay/75-day-career-upgrade/tree/main/week-07-cloud" TargetMode="External" Id="rId78"/><Relationship Type="http://schemas.openxmlformats.org/officeDocument/2006/relationships/hyperlink" Target="https://www.readyforprod.cloud/courses/az900-azure-fundamentals" TargetMode="External" Id="rId79"/><Relationship Type="http://schemas.openxmlformats.org/officeDocument/2006/relationships/hyperlink" Target="https://github.com/TechSckoolByVijay/75-day-career-upgrade/tree/main/week-07-cloud" TargetMode="External" Id="rId80"/><Relationship Type="http://schemas.openxmlformats.org/officeDocument/2006/relationships/hyperlink" Target="https://www.readyforprod.cloud/courses/az900-azure-fundamentals" TargetMode="External" Id="rId81"/><Relationship Type="http://schemas.openxmlformats.org/officeDocument/2006/relationships/hyperlink" Target="https://github.com/TechSckoolByVijay/75-day-career-upgrade/tree/main/week-07-cloud" TargetMode="External" Id="rId82"/><Relationship Type="http://schemas.openxmlformats.org/officeDocument/2006/relationships/hyperlink" Target="https://www.readyforprod.cloud/courses/az900-azure-fundamentals" TargetMode="External" Id="rId83"/><Relationship Type="http://schemas.openxmlformats.org/officeDocument/2006/relationships/hyperlink" Target="https://github.com/TechSckoolByVijay/75-day-career-upgrade/tree/main/week-07-cloud" TargetMode="External" Id="rId84"/><Relationship Type="http://schemas.openxmlformats.org/officeDocument/2006/relationships/hyperlink" Target="https://www.readyforprod.cloud/courses/az900-azure-fundamentals" TargetMode="External" Id="rId85"/><Relationship Type="http://schemas.openxmlformats.org/officeDocument/2006/relationships/hyperlink" Target="https://github.com/TechSckoolByVijay/75-day-career-upgrade/tree/main/week-08-terraform" TargetMode="External" Id="rId86"/><Relationship Type="http://schemas.openxmlformats.org/officeDocument/2006/relationships/hyperlink" Target="https://www.readyforprod.cloud/courses/terraform-for-devops" TargetMode="External" Id="rId87"/><Relationship Type="http://schemas.openxmlformats.org/officeDocument/2006/relationships/hyperlink" Target="https://github.com/TechSckoolByVijay/75-day-career-upgrade/tree/main/week-08-terraform" TargetMode="External" Id="rId88"/><Relationship Type="http://schemas.openxmlformats.org/officeDocument/2006/relationships/hyperlink" Target="https://www.readyforprod.cloud/courses/terraform-for-devops" TargetMode="External" Id="rId89"/><Relationship Type="http://schemas.openxmlformats.org/officeDocument/2006/relationships/hyperlink" Target="https://github.com/TechSckoolByVijay/75-day-career-upgrade/tree/main/week-08-terraform" TargetMode="External" Id="rId90"/><Relationship Type="http://schemas.openxmlformats.org/officeDocument/2006/relationships/hyperlink" Target="https://www.readyforprod.cloud/courses/terraform-for-devops" TargetMode="External" Id="rId91"/><Relationship Type="http://schemas.openxmlformats.org/officeDocument/2006/relationships/hyperlink" Target="https://github.com/TechSckoolByVijay/75-day-career-upgrade/tree/main/week-08-terraform" TargetMode="External" Id="rId92"/><Relationship Type="http://schemas.openxmlformats.org/officeDocument/2006/relationships/hyperlink" Target="https://www.readyforprod.cloud/courses/terraform-for-devops" TargetMode="External" Id="rId93"/><Relationship Type="http://schemas.openxmlformats.org/officeDocument/2006/relationships/hyperlink" Target="https://github.com/TechSckoolByVijay/75-day-career-upgrade/tree/main/week-08-terraform" TargetMode="External" Id="rId94"/><Relationship Type="http://schemas.openxmlformats.org/officeDocument/2006/relationships/hyperlink" Target="https://www.readyforprod.cloud/courses/terraform-for-devops" TargetMode="External" Id="rId95"/><Relationship Type="http://schemas.openxmlformats.org/officeDocument/2006/relationships/hyperlink" Target="https://github.com/TechSckoolByVijay/75-day-career-upgrade/tree/main/week-08-terraform" TargetMode="External" Id="rId96"/><Relationship Type="http://schemas.openxmlformats.org/officeDocument/2006/relationships/hyperlink" Target="https://www.readyforprod.cloud/courses/terraform-for-devops" TargetMode="External" Id="rId97"/><Relationship Type="http://schemas.openxmlformats.org/officeDocument/2006/relationships/hyperlink" Target="https://github.com/TechSckoolByVijay/75-day-career-upgrade/tree/main/week-08-terraform" TargetMode="External" Id="rId98"/><Relationship Type="http://schemas.openxmlformats.org/officeDocument/2006/relationships/hyperlink" Target="https://www.readyforprod.cloud/courses/terraform-for-devops" TargetMode="External" Id="rId99"/><Relationship Type="http://schemas.openxmlformats.org/officeDocument/2006/relationships/hyperlink" Target="https://github.com/TechSckoolByVijay/75-day-career-upgrade/tree/main/week-09-checkpoint-2" TargetMode="External" Id="rId100"/><Relationship Type="http://schemas.openxmlformats.org/officeDocument/2006/relationships/hyperlink" Target="https://www.readyforprod.cloud/courses/learning-github-actions" TargetMode="External" Id="rId101"/><Relationship Type="http://schemas.openxmlformats.org/officeDocument/2006/relationships/hyperlink" Target="https://github.com/TechSckoolByVijay/75-day-career-upgrade/tree/main/week-09-checkpoint-2" TargetMode="External" Id="rId102"/><Relationship Type="http://schemas.openxmlformats.org/officeDocument/2006/relationships/hyperlink" Target="https://www.readyforprod.cloud/courses/learning-github-actions" TargetMode="External" Id="rId103"/><Relationship Type="http://schemas.openxmlformats.org/officeDocument/2006/relationships/hyperlink" Target="https://github.com/TechSckoolByVijay/75-day-career-upgrade/tree/main/week-09-checkpoint-2" TargetMode="External" Id="rId104"/><Relationship Type="http://schemas.openxmlformats.org/officeDocument/2006/relationships/hyperlink" Target="https://www.readyforprod.cloud/courses/learning-github-actions" TargetMode="External" Id="rId105"/><Relationship Type="http://schemas.openxmlformats.org/officeDocument/2006/relationships/hyperlink" Target="https://github.com/TechSckoolByVijay/75-day-career-upgrade/tree/main/week-09-checkpoint-2" TargetMode="External" Id="rId106"/><Relationship Type="http://schemas.openxmlformats.org/officeDocument/2006/relationships/hyperlink" Target="https://www.readyforprod.cloud/courses/learning-github-actions" TargetMode="External" Id="rId107"/><Relationship Type="http://schemas.openxmlformats.org/officeDocument/2006/relationships/hyperlink" Target="https://github.com/TechSckoolByVijay/75-day-career-upgrade/tree/main/week-09-checkpoint-2" TargetMode="External" Id="rId108"/><Relationship Type="http://schemas.openxmlformats.org/officeDocument/2006/relationships/hyperlink" Target="https://www.readyforprod.cloud/courses/learning-github-actions" TargetMode="External" Id="rId109"/><Relationship Type="http://schemas.openxmlformats.org/officeDocument/2006/relationships/hyperlink" Target="https://github.com/TechSckoolByVijay/75-day-career-upgrade/tree/main/week-09-checkpoint-2" TargetMode="External" Id="rId110"/><Relationship Type="http://schemas.openxmlformats.org/officeDocument/2006/relationships/hyperlink" Target="https://www.readyforprod.cloud/courses/learning-github-actions" TargetMode="External" Id="rId111"/><Relationship Type="http://schemas.openxmlformats.org/officeDocument/2006/relationships/hyperlink" Target="https://github.com/TechSckoolByVijay/75-day-career-upgrade/tree/main/week-09-checkpoint-2" TargetMode="External" Id="rId112"/><Relationship Type="http://schemas.openxmlformats.org/officeDocument/2006/relationships/hyperlink" Target="https://www.readyforprod.cloud/courses/learning-github-actions" TargetMode="External" Id="rId113"/><Relationship Type="http://schemas.openxmlformats.org/officeDocument/2006/relationships/hyperlink" Target="https://github.com/TechSckoolByVijay/75-day-career-upgrade/tree/main/week-10-ai-devops-sre" TargetMode="External" Id="rId114"/><Relationship Type="http://schemas.openxmlformats.org/officeDocument/2006/relationships/hyperlink" Target="https://www.readyforprod.cloud/courses/chatgpt-for-devops" TargetMode="External" Id="rId115"/><Relationship Type="http://schemas.openxmlformats.org/officeDocument/2006/relationships/hyperlink" Target="https://github.com/TechSckoolByVijay/75-day-career-upgrade/tree/main/week-10-ai-devops-sre" TargetMode="External" Id="rId116"/><Relationship Type="http://schemas.openxmlformats.org/officeDocument/2006/relationships/hyperlink" Target="https://www.readyforprod.cloud/courses/chatgpt-for-devops" TargetMode="External" Id="rId117"/><Relationship Type="http://schemas.openxmlformats.org/officeDocument/2006/relationships/hyperlink" Target="https://github.com/TechSckoolByVijay/75-day-career-upgrade/tree/main/week-10-ai-devops-sre" TargetMode="External" Id="rId118"/><Relationship Type="http://schemas.openxmlformats.org/officeDocument/2006/relationships/hyperlink" Target="https://www.readyforprod.cloud/courses/chatgpt-for-devops" TargetMode="External" Id="rId119"/><Relationship Type="http://schemas.openxmlformats.org/officeDocument/2006/relationships/hyperlink" Target="https://github.com/TechSckoolByVijay/75-day-career-upgrade/tree/main/week-10-ai-devops-sre" TargetMode="External" Id="rId120"/><Relationship Type="http://schemas.openxmlformats.org/officeDocument/2006/relationships/hyperlink" Target="https://www.readyforprod.cloud/courses/chatgpt-for-devops" TargetMode="External" Id="rId121"/><Relationship Type="http://schemas.openxmlformats.org/officeDocument/2006/relationships/hyperlink" Target="https://github.com/TechSckoolByVijay/75-day-career-upgrade/tree/main/week-10-ai-devops-sre" TargetMode="External" Id="rId122"/><Relationship Type="http://schemas.openxmlformats.org/officeDocument/2006/relationships/hyperlink" Target="https://www.readyforprod.cloud/courses/chatgpt-for-devops" TargetMode="External" Id="rId123"/><Relationship Type="http://schemas.openxmlformats.org/officeDocument/2006/relationships/hyperlink" Target="https://github.com/TechSckoolByVijay/75-day-career-upgrade/tree/main/week-10-ai-devops-sre" TargetMode="External" Id="rId124"/><Relationship Type="http://schemas.openxmlformats.org/officeDocument/2006/relationships/hyperlink" Target="https://www.readyforprod.cloud/courses/chatgpt-for-devops" TargetMode="External" Id="rId125"/><Relationship Type="http://schemas.openxmlformats.org/officeDocument/2006/relationships/hyperlink" Target="https://github.com/TechSckoolByVijay/75-day-career-upgrade/tree/main/week-10-ai-devops-sre" TargetMode="External" Id="rId126"/><Relationship Type="http://schemas.openxmlformats.org/officeDocument/2006/relationships/hyperlink" Target="https://www.readyforprod.cloud/courses/chatgpt-for-devops" TargetMode="External" Id="rId127"/><Relationship Type="http://schemas.openxmlformats.org/officeDocument/2006/relationships/hyperlink" Target="https://github.com/TechSckoolByVijay/75-day-career-upgrade/tree/main/week-11-capstone" TargetMode="External" Id="rId128"/><Relationship Type="http://schemas.openxmlformats.org/officeDocument/2006/relationships/hyperlink" Target="https://www.readyforprod.cloud/bundles/ai-enabled-devops-sre?coupon=UPGRADE75" TargetMode="External" Id="rId129"/><Relationship Type="http://schemas.openxmlformats.org/officeDocument/2006/relationships/hyperlink" Target="https://github.com/TechSckoolByVijay/75-day-career-upgrade/tree/main/week-11-capstone" TargetMode="External" Id="rId130"/><Relationship Type="http://schemas.openxmlformats.org/officeDocument/2006/relationships/hyperlink" Target="https://www.readyforprod.cloud/bundles/ai-enabled-devops-sre?coupon=UPGRADE75" TargetMode="External" Id="rId131"/><Relationship Type="http://schemas.openxmlformats.org/officeDocument/2006/relationships/hyperlink" Target="https://github.com/TechSckoolByVijay/75-day-career-upgrade/tree/main/week-11-capstone" TargetMode="External" Id="rId132"/><Relationship Type="http://schemas.openxmlformats.org/officeDocument/2006/relationships/hyperlink" Target="https://www.readyforprod.cloud/bundles/ai-enabled-devops-sre?coupon=UPGRADE75" TargetMode="External" Id="rId133"/><Relationship Type="http://schemas.openxmlformats.org/officeDocument/2006/relationships/hyperlink" Target="https://github.com/TechSckoolByVijay/75-day-career-upgrade/tree/main/week-11-capstone" TargetMode="External" Id="rId134"/><Relationship Type="http://schemas.openxmlformats.org/officeDocument/2006/relationships/hyperlink" Target="https://www.readyforprod.cloud/bundles/ai-enabled-devops-sre?coupon=UPGRADE75" TargetMode="External" Id="rId135"/><Relationship Type="http://schemas.openxmlformats.org/officeDocument/2006/relationships/hyperlink" Target="https://github.com/TechSckoolByVijay/75-day-career-upgrade/tree/main/week-11-capstone" TargetMode="External" Id="rId136"/><Relationship Type="http://schemas.openxmlformats.org/officeDocument/2006/relationships/hyperlink" Target="https://www.readyforprod.cloud/bundles/ai-enabled-devops-sre?coupon=UPGRADE75" TargetMode="External" Id="rId137"/></Relationships>
</file>

<file path=xl/worksheets/_rels/sheet6.xml.rels><Relationships xmlns="http://schemas.openxmlformats.org/package/2006/relationships"><Relationship Type="http://schemas.openxmlformats.org/officeDocument/2006/relationships/hyperlink" Target="https://github.com/TechSckoolByVijay/75-day-career-upgrade/tree/main/projects/checkpoint-1-kubernetes" TargetMode="External" Id="rId1"/><Relationship Type="http://schemas.openxmlformats.org/officeDocument/2006/relationships/hyperlink" Target="https://github.com/TechSckoolByVijay/75-day-career-upgrade/tree/main/projects/checkpoint-2-end-to-end" TargetMode="External" Id="rId2"/><Relationship Type="http://schemas.openxmlformats.org/officeDocument/2006/relationships/hyperlink" Target="https://github.com/TechSckoolByVijay/75-day-career-upgrade/tree/main/projects/capstone-ai-app" TargetMode="External" Id="rId3"/></Relationships>
</file>

<file path=xl/worksheets/sheet1.xml><?xml version="1.0" encoding="utf-8"?>
<worksheet xmlns="http://schemas.openxmlformats.org/spreadsheetml/2006/main">
  <sheetPr>
    <outlinePr summaryBelow="1" summaryRight="1"/>
    <pageSetUpPr/>
  </sheetPr>
  <dimension ref="B2:C33"/>
  <sheetViews>
    <sheetView showGridLines="0" workbookViewId="0">
      <selection activeCell="A1" sqref="A1"/>
    </sheetView>
  </sheetViews>
  <sheetFormatPr baseColWidth="8" defaultRowHeight="15"/>
  <cols>
    <col width="3" customWidth="1" min="1" max="1"/>
    <col width="30" customWidth="1" min="2" max="2"/>
    <col width="90" customWidth="1" min="3" max="3"/>
  </cols>
  <sheetData>
    <row r="2">
      <c r="B2" s="1" t="inlineStr">
        <is>
          <t>The 75-Day Career Upgrade Challenge</t>
        </is>
      </c>
    </row>
    <row r="3">
      <c r="B3" s="2" t="inlineStr">
        <is>
          <t>From IT support or sysadmin to cloud, SRE, platform or DevOps engineer, in 30 minutes a day, with AI as your study partner.</t>
        </is>
      </c>
    </row>
    <row r="5">
      <c r="B5" s="3" t="inlineStr">
        <is>
          <t>Explore first. Specialise later.</t>
        </is>
      </c>
    </row>
    <row r="6" ht="48" customHeight="1">
      <c r="B6" s="4" t="inlineStr">
        <is>
          <t>You don't need Docker, Kubernetes, Terraform, GitHub Actions, pipelines and Generative AI all at once. Nobody uses all of them every day. But you can't choose the path that fits you until you've tried each one. So for 75 days, we explore. Then you pick, and go deep.</t>
        </is>
      </c>
    </row>
    <row r="8">
      <c r="B8" s="5" t="inlineStr">
        <is>
          <t>How to use this tracker</t>
        </is>
      </c>
    </row>
    <row r="9">
      <c r="B9" s="6" t="inlineStr">
        <is>
          <t>1. Daily tab</t>
        </is>
      </c>
      <c r="C9" s="4" t="inlineStr">
        <is>
          <t>One row per day. Mark Done? (Yes / Partly / No / Skipped) and add a note when something didn't work.</t>
        </is>
      </c>
    </row>
    <row r="10">
      <c r="B10" s="6" t="inlineStr">
        <is>
          <t>2. Weekly tab</t>
        </is>
      </c>
      <c r="C10" s="4" t="inlineStr">
        <is>
          <t>The weekly goal is what counts. Missed a few days? You're not out; finish the goal when you can.</t>
        </is>
      </c>
    </row>
    <row r="11">
      <c r="B11" s="6" t="inlineStr">
        <is>
          <t>3. Self-check tab</t>
        </is>
      </c>
      <c r="C11" s="4" t="inlineStr">
        <is>
          <t>Answer at the start, then at weeks 5, 9 and 11. That's how you'll see your upgrade.</t>
        </is>
      </c>
    </row>
    <row r="12">
      <c r="B12" s="6" t="inlineStr">
        <is>
          <t>4. Projects tab</t>
        </is>
      </c>
      <c r="C12" s="4" t="inlineStr">
        <is>
          <t>Your three portfolio projects and their links.</t>
        </is>
      </c>
    </row>
    <row r="13">
      <c r="B13" s="6" t="inlineStr">
        <is>
          <t>5. Progress tab</t>
        </is>
      </c>
      <c r="C13" s="4" t="inlineStr">
        <is>
          <t>Updates itself.</t>
        </is>
      </c>
    </row>
    <row r="15">
      <c r="B15" s="5" t="inlineStr">
        <is>
          <t>The rules</t>
        </is>
      </c>
    </row>
    <row r="16">
      <c r="B16" s="6" t="inlineStr">
        <is>
          <t>Time</t>
        </is>
      </c>
      <c r="C16" s="4" t="inlineStr">
        <is>
          <t>30 minutes a day, 5 days a week. One longer build session (about 60 min) at the weekend. One day to catch up or rest.</t>
        </is>
      </c>
    </row>
    <row r="17">
      <c r="B17" s="6" t="inlineStr">
        <is>
          <t>Missed days</t>
        </is>
      </c>
      <c r="C17" s="4" t="inlineStr">
        <is>
          <t>Weekly goals, not daily punishment. Nobody restarts from Day 1.</t>
        </is>
      </c>
    </row>
    <row r="18">
      <c r="B18" s="6" t="inlineStr">
        <is>
          <t>Skipping</t>
        </is>
      </c>
      <c r="C18" s="4" t="inlineStr">
        <is>
          <t>Each week says who can skip it. If you've honestly ruled a topic out, skip to the next week.</t>
        </is>
      </c>
    </row>
    <row r="19">
      <c r="B19" s="6" t="inlineStr">
        <is>
          <t>Levels</t>
        </is>
      </c>
      <c r="C19" s="4" t="inlineStr">
        <is>
          <t>Starter → Working → Intermediate. Nobody becomes an 'expert' in 75 days, and we don't pretend otherwise.</t>
        </is>
      </c>
    </row>
    <row r="21">
      <c r="B21" s="5" t="inlineStr">
        <is>
          <t>Links</t>
        </is>
      </c>
    </row>
    <row r="22">
      <c r="B22" s="6" t="inlineStr">
        <is>
          <t>Weekly lessons (live, always current)</t>
        </is>
      </c>
      <c r="C22" s="7" t="inlineStr">
        <is>
          <t>https://github.com/TechSckoolByVijay/75-day-career-upgrade#the-map</t>
        </is>
      </c>
    </row>
    <row r="23">
      <c r="B23" s="6" t="inlineStr">
        <is>
          <t>Exercises and projects</t>
        </is>
      </c>
      <c r="C23" s="7" t="inlineStr">
        <is>
          <t>https://github.com/TechSckoolByVijay/75-day-career-upgrade</t>
        </is>
      </c>
    </row>
    <row r="24">
      <c r="B24" s="6" t="inlineStr">
        <is>
          <t>Weekly check-in (2 min)</t>
        </is>
      </c>
      <c r="C24" s="4" t="inlineStr">
        <is>
          <t>(weekly check-in form link added at launch)</t>
        </is>
      </c>
    </row>
    <row r="25">
      <c r="B25" s="6" t="inlineStr">
        <is>
          <t>Go deeper (challenge price)</t>
        </is>
      </c>
      <c r="C25" s="7" t="inlineStr">
        <is>
          <t>https://www.readyforprod.cloud/bundles/ai-enabled-devops-sre?coupon=UPGRADE75</t>
        </is>
      </c>
    </row>
    <row r="26">
      <c r="B26" s="6" t="inlineStr">
        <is>
          <t>Courses in the Daily tab</t>
        </is>
      </c>
      <c r="C26" s="4" t="inlineStr">
        <is>
          <t>Optional. Every task can be done with the free resource. Already own one of these courses on Udemy? Use it there, the topic is the same.</t>
        </is>
      </c>
    </row>
    <row r="28">
      <c r="B28" s="5" t="inlineStr">
        <is>
          <t>My goal</t>
        </is>
      </c>
    </row>
    <row r="29">
      <c r="B29" s="6" t="inlineStr">
        <is>
          <t>In 75 days I want to be able to…</t>
        </is>
      </c>
      <c r="C29" s="8" t="inlineStr"/>
    </row>
    <row r="30">
      <c r="B30" s="6" t="inlineStr">
        <is>
          <t>…so that…</t>
        </is>
      </c>
      <c r="C30" s="8" t="inlineStr"/>
    </row>
    <row r="31">
      <c r="B31" s="6" t="inlineStr">
        <is>
          <t>My Day 1 date</t>
        </is>
      </c>
      <c r="C31" s="8" t="inlineStr"/>
    </row>
    <row r="33">
      <c r="B33" s="6" t="inlineStr">
        <is>
          <t>Tracker version</t>
        </is>
      </c>
      <c r="C33" s="4" t="inlineStr">
        <is>
          <t>v1.2 (Oct 2026). Content lives in the weekly lessons, so it updates without downloading again.</t>
        </is>
      </c>
    </row>
  </sheetData>
  <mergeCells count="2">
    <mergeCell ref="B6:C6"/>
    <mergeCell ref="B3:C3"/>
  </mergeCells>
  <hyperlinks>
    <hyperlink xmlns:r="http://schemas.openxmlformats.org/officeDocument/2006/relationships" ref="C22" r:id="rId1"/>
    <hyperlink xmlns:r="http://schemas.openxmlformats.org/officeDocument/2006/relationships" ref="C23" r:id="rId2"/>
    <hyperlink xmlns:r="http://schemas.openxmlformats.org/officeDocument/2006/relationships" ref="C25" r:id="rId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C21"/>
  <sheetViews>
    <sheetView showGridLines="0" workbookViewId="0">
      <selection activeCell="A1" sqref="A1"/>
    </sheetView>
  </sheetViews>
  <sheetFormatPr baseColWidth="8" defaultRowHeight="15"/>
  <cols>
    <col width="3" customWidth="1" min="1" max="1"/>
    <col width="52" customWidth="1" min="2" max="2"/>
    <col width="18" customWidth="1" min="3" max="3"/>
  </cols>
  <sheetData>
    <row r="1">
      <c r="B1" s="9" t="inlineStr">
        <is>
          <t>My progress</t>
        </is>
      </c>
    </row>
    <row r="2">
      <c r="B2" s="10" t="inlineStr">
        <is>
          <t>Days done (Yes)</t>
        </is>
      </c>
      <c r="C2" s="11">
        <f>COUNTIFS(Daily!A6:A80,"&gt;=1",Daily!H6:H80,"Yes")</f>
        <v/>
      </c>
    </row>
    <row r="3">
      <c r="B3" s="10" t="inlineStr">
        <is>
          <t>Days partly done</t>
        </is>
      </c>
      <c r="C3" s="11">
        <f>COUNTIF(Daily!H6:H80,"Partly")</f>
        <v/>
      </c>
    </row>
    <row r="4">
      <c r="B4" s="10" t="inlineStr">
        <is>
          <t>Challenge complete</t>
        </is>
      </c>
      <c r="C4" s="12">
        <f>C2/75</f>
        <v/>
      </c>
    </row>
    <row r="5">
      <c r="B5" s="10" t="inlineStr">
        <is>
          <t>Minutes invested</t>
        </is>
      </c>
      <c r="C5" s="11">
        <f>SUM(Daily!I2:I80)</f>
        <v/>
      </c>
    </row>
    <row r="6">
      <c r="B6" s="10" t="inlineStr">
        <is>
          <t>Hours invested</t>
        </is>
      </c>
      <c r="C6" s="11">
        <f>ROUND(C5/60,1)</f>
        <v/>
      </c>
    </row>
    <row r="7">
      <c r="B7" s="10" t="inlineStr">
        <is>
          <t>Weekly goals met</t>
        </is>
      </c>
      <c r="C7" s="11">
        <f>COUNTIF(Weekly!H3:H13,"Yes")&amp;" of 11"</f>
        <v/>
      </c>
    </row>
    <row r="8">
      <c r="B8" s="10" t="inlineStr">
        <is>
          <t>Projects done</t>
        </is>
      </c>
      <c r="C8" s="11">
        <f>COUNTIF(Projects!D2:D4,"Done")&amp;" of 3"</f>
        <v/>
      </c>
    </row>
    <row r="10">
      <c r="B10" s="5" t="inlineStr">
        <is>
          <t>Days done by week</t>
        </is>
      </c>
    </row>
    <row r="11">
      <c r="B11" s="4" t="inlineStr">
        <is>
          <t>Week 1: Foundations: Linux, Git, AI as your study partner</t>
        </is>
      </c>
      <c r="C11">
        <f>COUNTIFS(Daily!B6:B80,1,Daily!H6:H80,"Yes")</f>
        <v/>
      </c>
    </row>
    <row r="12">
      <c r="B12" s="4" t="inlineStr">
        <is>
          <t>Week 2: Docker</t>
        </is>
      </c>
      <c r="C12">
        <f>COUNTIFS(Daily!B6:B80,2,Daily!H6:H80,"Yes")</f>
        <v/>
      </c>
    </row>
    <row r="13">
      <c r="B13" s="4" t="inlineStr">
        <is>
          <t>Week 3: Kubernetes I</t>
        </is>
      </c>
      <c r="C13">
        <f>COUNTIFS(Daily!B6:B80,3,Daily!H6:H80,"Yes")</f>
        <v/>
      </c>
    </row>
    <row r="14">
      <c r="B14" s="4" t="inlineStr">
        <is>
          <t>Week 4: Kubernetes II: production basics</t>
        </is>
      </c>
      <c r="C14">
        <f>COUNTIFS(Daily!B6:B80,4,Daily!H6:H80,"Yes")</f>
        <v/>
      </c>
    </row>
    <row r="15">
      <c r="B15" s="4" t="inlineStr">
        <is>
          <t>Week 5: Checkpoint 1: projects + self-check</t>
        </is>
      </c>
      <c r="C15">
        <f>COUNTIFS(Daily!B6:B80,5,Daily!H6:H80,"Yes")</f>
        <v/>
      </c>
    </row>
    <row r="16">
      <c r="B16" s="4" t="inlineStr">
        <is>
          <t>Week 6: CI/CD with GitHub Actions</t>
        </is>
      </c>
      <c r="C16">
        <f>COUNTIFS(Daily!B6:B80,6,Daily!H6:H80,"Yes")</f>
        <v/>
      </c>
    </row>
    <row r="17">
      <c r="B17" s="4" t="inlineStr">
        <is>
          <t>Week 7: Cloud for admins (Azure)</t>
        </is>
      </c>
      <c r="C17">
        <f>COUNTIFS(Daily!B6:B80,7,Daily!H6:H80,"Yes")</f>
        <v/>
      </c>
    </row>
    <row r="18">
      <c r="B18" s="4" t="inlineStr">
        <is>
          <t>Week 8: Terraform (infrastructure as code)</t>
        </is>
      </c>
      <c r="C18">
        <f>COUNTIFS(Daily!B6:B80,8,Daily!H6:H80,"Yes")</f>
        <v/>
      </c>
    </row>
    <row r="19">
      <c r="B19" s="4" t="inlineStr">
        <is>
          <t>Week 9: Checkpoint 2: end-to-end project</t>
        </is>
      </c>
      <c r="C19">
        <f>COUNTIFS(Daily!B6:B80,9,Daily!H6:H80,"Yes")</f>
        <v/>
      </c>
    </row>
    <row r="20">
      <c r="B20" s="4" t="inlineStr">
        <is>
          <t>Week 10: AI in DevOps and SRE</t>
        </is>
      </c>
      <c r="C20">
        <f>COUNTIFS(Daily!B6:B80,10,Daily!H6:H80,"Yes")</f>
        <v/>
      </c>
    </row>
    <row r="21">
      <c r="B21" s="4" t="inlineStr">
        <is>
          <t>Week 11: Capstone + pick your path</t>
        </is>
      </c>
      <c r="C21">
        <f>COUNTIFS(Daily!B6:B80,11,Daily!H6:H80,"Yes")</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0"/>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14" customWidth="1" min="3" max="3"/>
    <col width="26" customWidth="1" min="4" max="4"/>
    <col width="70" customWidth="1" min="5" max="5"/>
    <col width="38" customWidth="1" min="6" max="6"/>
    <col width="42" customWidth="1" min="7" max="7"/>
    <col width="10" customWidth="1" min="8" max="8"/>
    <col width="9" customWidth="1" min="9" max="9"/>
    <col width="45" customWidth="1" min="10" max="10"/>
  </cols>
  <sheetData>
    <row r="1" ht="30" customHeight="1">
      <c r="A1" s="13" t="inlineStr">
        <is>
          <t>Day</t>
        </is>
      </c>
      <c r="B1" s="13" t="inlineStr">
        <is>
          <t>Week</t>
        </is>
      </c>
      <c r="C1" s="13" t="inlineStr">
        <is>
          <t>Type</t>
        </is>
      </c>
      <c r="D1" s="13" t="inlineStr">
        <is>
          <t>Explore</t>
        </is>
      </c>
      <c r="E1" s="13" t="inlineStr">
        <is>
          <t>Today's task (about 30 min)</t>
        </is>
      </c>
      <c r="F1" s="13" t="inlineStr">
        <is>
          <t>Free resource</t>
        </is>
      </c>
      <c r="G1" s="13" t="inlineStr">
        <is>
          <t>In our courses (optional, faster)</t>
        </is>
      </c>
      <c r="H1" s="13" t="inlineStr">
        <is>
          <t>Done?</t>
        </is>
      </c>
      <c r="I1" s="13" t="inlineStr">
        <is>
          <t>Minutes</t>
        </is>
      </c>
      <c r="J1" s="13" t="inlineStr">
        <is>
          <t>My notes (what worked, what didn't)</t>
        </is>
      </c>
    </row>
    <row r="2">
      <c r="A2" s="14" t="inlineStr">
        <is>
          <t>0.1</t>
        </is>
      </c>
      <c r="B2" s="14" t="n">
        <v>0</v>
      </c>
      <c r="C2" s="14" t="inlineStr">
        <is>
          <t>Setup</t>
        </is>
      </c>
      <c r="D2" s="14" t="inlineStr">
        <is>
          <t>Setup + where am I today?</t>
        </is>
      </c>
      <c r="E2" s="14" t="inlineStr">
        <is>
          <t>Install Git, VS Code, Docker Desktop, kubectl and kind. Create free GitHub and ChatGPT/Claude accounts.</t>
        </is>
      </c>
      <c r="F2" s="15" t="inlineStr">
        <is>
          <t>https://github.com/TechSckoolByVijay/75-day-career-upgrade/tree/main/week-00-setup</t>
        </is>
      </c>
      <c r="G2" s="16" t="inlineStr"/>
      <c r="H2" s="17" t="n"/>
      <c r="I2" s="17" t="n"/>
      <c r="J2" s="17" t="n"/>
    </row>
    <row r="3">
      <c r="A3" s="14" t="inlineStr">
        <is>
          <t>0.2</t>
        </is>
      </c>
      <c r="B3" s="14" t="n">
        <v>0</v>
      </c>
      <c r="C3" s="14" t="inlineStr">
        <is>
          <t>Setup</t>
        </is>
      </c>
      <c r="D3" s="14" t="inlineStr">
        <is>
          <t>Setup + where am I today?</t>
        </is>
      </c>
      <c r="E3" s="14" t="inlineStr">
        <is>
          <t>Run the 'check it works' commands: docker run hello-world, create and delete a kind cluster.</t>
        </is>
      </c>
      <c r="F3" s="15" t="inlineStr">
        <is>
          <t>https://github.com/TechSckoolByVijay/75-day-career-upgrade/tree/main/week-00-setup</t>
        </is>
      </c>
      <c r="G3" s="16" t="inlineStr"/>
      <c r="H3" s="17" t="n"/>
      <c r="I3" s="17" t="n"/>
      <c r="J3" s="17" t="n"/>
    </row>
    <row r="4">
      <c r="A4" s="14" t="inlineStr">
        <is>
          <t>0.3</t>
        </is>
      </c>
      <c r="B4" s="14" t="n">
        <v>0</v>
      </c>
      <c r="C4" s="14" t="inlineStr">
        <is>
          <t>Self-check</t>
        </is>
      </c>
      <c r="D4" s="14" t="inlineStr">
        <is>
          <t>Setup + where am I today?</t>
        </is>
      </c>
      <c r="E4" s="14" t="inlineStr">
        <is>
          <t>Answer the 12 'Can I…?' questions in the Self-check tab (Start column). Be honest; nobody sees it but you.</t>
        </is>
      </c>
      <c r="F4" s="16" t="inlineStr"/>
      <c r="G4" s="16" t="inlineStr"/>
      <c r="H4" s="17" t="n"/>
      <c r="I4" s="17" t="n"/>
      <c r="J4" s="17" t="n"/>
    </row>
    <row r="5">
      <c r="A5" s="14" t="inlineStr">
        <is>
          <t>0.4</t>
        </is>
      </c>
      <c r="B5" s="14" t="n">
        <v>0</v>
      </c>
      <c r="C5" s="14" t="inlineStr">
        <is>
          <t>Goal</t>
        </is>
      </c>
      <c r="D5" s="14" t="inlineStr">
        <is>
          <t>Setup + where am I today?</t>
        </is>
      </c>
      <c r="E5" s="14" t="inlineStr">
        <is>
          <t>Write your one-sentence goal in the Start Here tab.</t>
        </is>
      </c>
      <c r="F5" s="16" t="inlineStr"/>
      <c r="G5" s="16" t="inlineStr"/>
      <c r="H5" s="17" t="n"/>
      <c r="I5" s="17" t="n"/>
      <c r="J5" s="17" t="n"/>
    </row>
    <row r="6">
      <c r="A6" s="16" t="n">
        <v>1</v>
      </c>
      <c r="B6" s="16" t="n">
        <v>1</v>
      </c>
      <c r="C6" s="16" t="inlineStr">
        <is>
          <t>Learn</t>
        </is>
      </c>
      <c r="D6" s="16" t="inlineStr">
        <is>
          <t>Foundations: Linux, Git, AI as your study partner</t>
        </is>
      </c>
      <c r="E6" s="16" t="inlineStr">
        <is>
          <t>Terminal basics: pwd, ls, cd, mkdir, touch, cp, mv, rm. Practise until moving around feels normal.</t>
        </is>
      </c>
      <c r="F6" s="15" t="inlineStr">
        <is>
          <t>https://ubuntu.com/tutorials/command-line-for-beginners</t>
        </is>
      </c>
      <c r="G6" s="18" t="inlineStr">
        <is>
          <t>Not in our courses yet. The free resource is enough.</t>
        </is>
      </c>
      <c r="H6" s="17" t="n"/>
      <c r="I6" s="17" t="n"/>
      <c r="J6" s="17" t="n"/>
    </row>
    <row r="7">
      <c r="A7" s="16" t="n">
        <v>2</v>
      </c>
      <c r="B7" s="16" t="n">
        <v>1</v>
      </c>
      <c r="C7" s="16" t="inlineStr">
        <is>
          <t>Learn</t>
        </is>
      </c>
      <c r="D7" s="16" t="inlineStr">
        <is>
          <t>Foundations: Linux, Git, AI as your study partner</t>
        </is>
      </c>
      <c r="E7" s="16" t="inlineStr">
        <is>
          <t>Working with text: cat, less, head, tail, grep, pipes ( | ) and redirection ( &gt; ).</t>
        </is>
      </c>
      <c r="F7" s="15" t="inlineStr">
        <is>
          <t>https://linuxjourney.com/</t>
        </is>
      </c>
      <c r="G7" s="18" t="inlineStr">
        <is>
          <t>Not in our courses yet. The free resource is enough.</t>
        </is>
      </c>
      <c r="H7" s="17" t="n"/>
      <c r="I7" s="17" t="n"/>
      <c r="J7" s="17" t="n"/>
    </row>
    <row r="8">
      <c r="A8" s="16" t="n">
        <v>3</v>
      </c>
      <c r="B8" s="16" t="n">
        <v>1</v>
      </c>
      <c r="C8" s="16" t="inlineStr">
        <is>
          <t>Learn</t>
        </is>
      </c>
      <c r="D8" s="16" t="inlineStr">
        <is>
          <t>Foundations: Linux, Git, AI as your study partner</t>
        </is>
      </c>
      <c r="E8" s="16" t="inlineStr">
        <is>
          <t>Permissions, processes and environment variables: chmod, ps, top, export, PATH.</t>
        </is>
      </c>
      <c r="F8" s="15" t="inlineStr">
        <is>
          <t>https://linuxjourney.com/</t>
        </is>
      </c>
      <c r="G8" s="18" t="inlineStr">
        <is>
          <t>Not in our courses yet. The free resource is enough.</t>
        </is>
      </c>
      <c r="H8" s="17" t="n"/>
      <c r="I8" s="17" t="n"/>
      <c r="J8" s="17" t="n"/>
    </row>
    <row r="9">
      <c r="A9" s="16" t="n">
        <v>4</v>
      </c>
      <c r="B9" s="16" t="n">
        <v>1</v>
      </c>
      <c r="C9" s="16" t="inlineStr">
        <is>
          <t>Learn</t>
        </is>
      </c>
      <c r="D9" s="16" t="inlineStr">
        <is>
          <t>Foundations: Linux, Git, AI as your study partner</t>
        </is>
      </c>
      <c r="E9" s="16" t="inlineStr">
        <is>
          <t>Git basics: init, add, commit, status, log. Create a GitHub repo and push your first commit.</t>
        </is>
      </c>
      <c r="F9" s="15" t="inlineStr">
        <is>
          <t>https://docs.github.com/en/get-started/start-your-journey/hello-world</t>
        </is>
      </c>
      <c r="G9" s="18" t="inlineStr">
        <is>
          <t>Not in our courses yet. The free resource is enough.</t>
        </is>
      </c>
      <c r="H9" s="17" t="n"/>
      <c r="I9" s="17" t="n"/>
      <c r="J9" s="17" t="n"/>
    </row>
    <row r="10">
      <c r="A10" s="16" t="n">
        <v>5</v>
      </c>
      <c r="B10" s="16" t="n">
        <v>1</v>
      </c>
      <c r="C10" s="16" t="inlineStr">
        <is>
          <t>Learn</t>
        </is>
      </c>
      <c r="D10" s="16" t="inlineStr">
        <is>
          <t>Foundations: Linux, Git, AI as your study partner</t>
        </is>
      </c>
      <c r="E10" s="16" t="inlineStr">
        <is>
          <t>AI as your study partner: give context + the exact error + your goal; check its answer; never paste passwords, keys or company data.</t>
        </is>
      </c>
      <c r="F10" s="15" t="inlineStr">
        <is>
          <t>https://vijaysaini.com/blog-post.html?slug=ai-at-work-01-fit-in-dont-replace</t>
        </is>
      </c>
      <c r="G10" s="15" t="inlineStr">
        <is>
          <t>ChatGPT for DevOps: "Leveraging ChatGPT - Ask to Explain the Code"</t>
        </is>
      </c>
      <c r="H10" s="17" t="n"/>
      <c r="I10" s="17" t="n"/>
      <c r="J10" s="17" t="n"/>
    </row>
    <row r="11">
      <c r="A11" s="14" t="n">
        <v>6</v>
      </c>
      <c r="B11" s="14" t="n">
        <v>1</v>
      </c>
      <c r="C11" s="14" t="inlineStr">
        <is>
          <t>Build (60 min)</t>
        </is>
      </c>
      <c r="D11" s="14" t="inlineStr">
        <is>
          <t>Foundations: Linux, Git, AI as your study partner</t>
        </is>
      </c>
      <c r="E11" s="14" t="inlineStr">
        <is>
          <t>Write a small shell script that shows disk usage and the 5 largest files in a folder. Push it to GitHub. Ask AI to review it and explain one improvement.</t>
        </is>
      </c>
      <c r="F11" s="16" t="inlineStr"/>
      <c r="G11" s="15" t="inlineStr">
        <is>
          <t>ChatGPT for DevOps: "Harnessing the Power of ChatGPT - Coding with ChatGPT"</t>
        </is>
      </c>
      <c r="H11" s="17" t="n"/>
      <c r="I11" s="17" t="n"/>
      <c r="J11" s="17" t="n"/>
    </row>
    <row r="12">
      <c r="A12" s="14" t="n">
        <v>7</v>
      </c>
      <c r="B12" s="14" t="n">
        <v>1</v>
      </c>
      <c r="C12" s="14" t="inlineStr">
        <is>
          <t>Catch up / rest</t>
        </is>
      </c>
      <c r="D12" s="14" t="inlineStr">
        <is>
          <t>Foundations: Linux, Git, AI as your study partner</t>
        </is>
      </c>
      <c r="E12" s="14" t="inlineStr">
        <is>
          <t>Finish anything left from the week. Write your weekly reflection in the Weekly tab.</t>
        </is>
      </c>
      <c r="F12" s="16" t="inlineStr"/>
      <c r="G12" s="16" t="inlineStr"/>
      <c r="H12" s="17" t="n"/>
      <c r="I12" s="17" t="n"/>
      <c r="J12" s="17" t="n"/>
    </row>
    <row r="13">
      <c r="A13" s="16" t="n">
        <v>8</v>
      </c>
      <c r="B13" s="16" t="n">
        <v>2</v>
      </c>
      <c r="C13" s="16" t="inlineStr">
        <is>
          <t>Learn</t>
        </is>
      </c>
      <c r="D13" s="16" t="inlineStr">
        <is>
          <t>Docker</t>
        </is>
      </c>
      <c r="E13" s="16" t="inlineStr">
        <is>
          <t>Containers vs virtual machines. Run nginx: docker run -p 8080:80 nginx, then open localhost:8080.</t>
        </is>
      </c>
      <c r="F13" s="15" t="inlineStr">
        <is>
          <t>https://docs.docker.com/get-started/</t>
        </is>
      </c>
      <c r="G13" s="18" t="inlineStr">
        <is>
          <t>Not in our courses yet. The free resource is enough.</t>
        </is>
      </c>
      <c r="H13" s="17" t="n"/>
      <c r="I13" s="17" t="n"/>
      <c r="J13" s="17" t="n"/>
    </row>
    <row r="14">
      <c r="A14" s="16" t="n">
        <v>9</v>
      </c>
      <c r="B14" s="16" t="n">
        <v>2</v>
      </c>
      <c r="C14" s="16" t="inlineStr">
        <is>
          <t>Learn</t>
        </is>
      </c>
      <c r="D14" s="16" t="inlineStr">
        <is>
          <t>Docker</t>
        </is>
      </c>
      <c r="E14" s="16" t="inlineStr">
        <is>
          <t>Images and containers: docker ps, images, logs, exec, stop, rm. Look inside a running container.</t>
        </is>
      </c>
      <c r="F14" s="15" t="inlineStr">
        <is>
          <t>https://docs.docker.com/get-started/</t>
        </is>
      </c>
      <c r="G14" s="18" t="inlineStr">
        <is>
          <t>Not in our courses yet. The free resource is enough.</t>
        </is>
      </c>
      <c r="H14" s="17" t="n"/>
      <c r="I14" s="17" t="n"/>
      <c r="J14" s="17" t="n"/>
    </row>
    <row r="15">
      <c r="A15" s="16" t="n">
        <v>10</v>
      </c>
      <c r="B15" s="16" t="n">
        <v>2</v>
      </c>
      <c r="C15" s="16" t="inlineStr">
        <is>
          <t>Learn</t>
        </is>
      </c>
      <c r="D15" s="16" t="inlineStr">
        <is>
          <t>Docker</t>
        </is>
      </c>
      <c r="E15" s="16" t="inlineStr">
        <is>
          <t>Write a Dockerfile for a tiny Python app (or read the Notes app's Dockerfile line by line), build it and run it.</t>
        </is>
      </c>
      <c r="F15" s="15" t="inlineStr">
        <is>
          <t>https://docs.docker.com/get-started/workshop/</t>
        </is>
      </c>
      <c r="G15" s="15" t="inlineStr">
        <is>
          <t>ChatGPT for DevOps: "Use ChatGPT for Generating Dockerfile"</t>
        </is>
      </c>
      <c r="H15" s="17" t="n"/>
      <c r="I15" s="17" t="n"/>
      <c r="J15" s="17" t="n"/>
    </row>
    <row r="16">
      <c r="A16" s="16" t="n">
        <v>11</v>
      </c>
      <c r="B16" s="16" t="n">
        <v>2</v>
      </c>
      <c r="C16" s="16" t="inlineStr">
        <is>
          <t>Learn</t>
        </is>
      </c>
      <c r="D16" s="16" t="inlineStr">
        <is>
          <t>Docker</t>
        </is>
      </c>
      <c r="E16" s="16" t="inlineStr">
        <is>
          <t>Environment variables, volumes and .dockerignore: keep secrets OUT of the image.</t>
        </is>
      </c>
      <c r="F16" s="15" t="inlineStr">
        <is>
          <t>https://docs.docker.com/build/concepts/context/#dockerignore-files</t>
        </is>
      </c>
      <c r="G16" s="18" t="inlineStr">
        <is>
          <t>Not in our courses yet. The free resource is enough.</t>
        </is>
      </c>
      <c r="H16" s="17" t="n"/>
      <c r="I16" s="17" t="n"/>
      <c r="J16" s="17" t="n"/>
    </row>
    <row r="17">
      <c r="A17" s="16" t="n">
        <v>12</v>
      </c>
      <c r="B17" s="16" t="n">
        <v>2</v>
      </c>
      <c r="C17" s="16" t="inlineStr">
        <is>
          <t>Learn</t>
        </is>
      </c>
      <c r="D17" s="16" t="inlineStr">
        <is>
          <t>Docker</t>
        </is>
      </c>
      <c r="E17" s="16" t="inlineStr">
        <is>
          <t>Run 2 containers together: the Notes app + Redis, first with docker network, then with Docker Compose.</t>
        </is>
      </c>
      <c r="F17" s="15" t="inlineStr">
        <is>
          <t>https://docs.docker.com/compose/gettingstarted/</t>
        </is>
      </c>
      <c r="G17" s="18" t="inlineStr">
        <is>
          <t>Not in our courses yet. The free resource is enough.</t>
        </is>
      </c>
      <c r="H17" s="17" t="n"/>
      <c r="I17" s="17" t="n"/>
      <c r="J17" s="17" t="n"/>
    </row>
    <row r="18">
      <c r="A18" s="14" t="n">
        <v>13</v>
      </c>
      <c r="B18" s="14" t="n">
        <v>2</v>
      </c>
      <c r="C18" s="14" t="inlineStr">
        <is>
          <t>Build (60 min)</t>
        </is>
      </c>
      <c r="D18" s="14" t="inlineStr">
        <is>
          <t>Docker</t>
        </is>
      </c>
      <c r="E18" s="14" t="inlineStr">
        <is>
          <t>Containerise your own small app (or the Notes app in the repo) and push the image to Docker Hub or GitHub Container Registry. Ask AI to review your Dockerfile for security problems.</t>
        </is>
      </c>
      <c r="F18" s="15" t="inlineStr">
        <is>
          <t>https://github.com/TechSckoolByVijay/75-day-career-upgrade/tree/main/apps/notes-app</t>
        </is>
      </c>
      <c r="G18" s="15" t="inlineStr">
        <is>
          <t>ChatGPT for DevOps: "Use ChatGPT for Generating Dockerfile (use it to review yours)"</t>
        </is>
      </c>
      <c r="H18" s="17" t="n"/>
      <c r="I18" s="17" t="n"/>
      <c r="J18" s="17" t="n"/>
    </row>
    <row r="19">
      <c r="A19" s="14" t="n">
        <v>14</v>
      </c>
      <c r="B19" s="14" t="n">
        <v>2</v>
      </c>
      <c r="C19" s="14" t="inlineStr">
        <is>
          <t>Catch up / rest</t>
        </is>
      </c>
      <c r="D19" s="14" t="inlineStr">
        <is>
          <t>Docker</t>
        </is>
      </c>
      <c r="E19" s="14" t="inlineStr">
        <is>
          <t>Finish the week. Weekly reflection.</t>
        </is>
      </c>
      <c r="F19" s="16" t="inlineStr"/>
      <c r="G19" s="16" t="inlineStr"/>
      <c r="H19" s="17" t="n"/>
      <c r="I19" s="17" t="n"/>
      <c r="J19" s="17" t="n"/>
    </row>
    <row r="20">
      <c r="A20" s="16" t="n">
        <v>15</v>
      </c>
      <c r="B20" s="16" t="n">
        <v>3</v>
      </c>
      <c r="C20" s="16" t="inlineStr">
        <is>
          <t>Learn</t>
        </is>
      </c>
      <c r="D20" s="16" t="inlineStr">
        <is>
          <t>Kubernetes I</t>
        </is>
      </c>
      <c r="E20" s="16" t="inlineStr">
        <is>
          <t>Why Kubernetes exists. Create a kind cluster; kubectl get nodes; kubectl explain pod.</t>
        </is>
      </c>
      <c r="F20" s="15" t="inlineStr">
        <is>
          <t>https://kubernetes.io/docs/tutorials/kubernetes-basics/</t>
        </is>
      </c>
      <c r="G20" s="15" t="inlineStr">
        <is>
          <t>Hands On Kubernetes: "Introduction to Kubernetes project &amp; basic commands overview"</t>
        </is>
      </c>
      <c r="H20" s="17" t="n"/>
      <c r="I20" s="17" t="n"/>
      <c r="J20" s="17" t="n"/>
    </row>
    <row r="21">
      <c r="A21" s="16" t="n">
        <v>16</v>
      </c>
      <c r="B21" s="16" t="n">
        <v>3</v>
      </c>
      <c r="C21" s="16" t="inlineStr">
        <is>
          <t>Learn</t>
        </is>
      </c>
      <c r="D21" s="16" t="inlineStr">
        <is>
          <t>Kubernetes I</t>
        </is>
      </c>
      <c r="E21" s="16" t="inlineStr">
        <is>
          <t>Pods: run one, describe it, read its logs, delete it. Read a pod YAML line by line.</t>
        </is>
      </c>
      <c r="F21" s="15" t="inlineStr">
        <is>
          <t>https://kubernetes.io/docs/concepts/workloads/pods/</t>
        </is>
      </c>
      <c r="G21" s="15" t="inlineStr">
        <is>
          <t>Hands On Kubernetes: "Introduction to Kubernetes project &amp; basic commands overview"</t>
        </is>
      </c>
      <c r="H21" s="17" t="n"/>
      <c r="I21" s="17" t="n"/>
      <c r="J21" s="17" t="n"/>
    </row>
    <row r="22">
      <c r="A22" s="16" t="n">
        <v>17</v>
      </c>
      <c r="B22" s="16" t="n">
        <v>3</v>
      </c>
      <c r="C22" s="16" t="inlineStr">
        <is>
          <t>Learn</t>
        </is>
      </c>
      <c r="D22" s="16" t="inlineStr">
        <is>
          <t>Kubernetes I</t>
        </is>
      </c>
      <c r="E22" s="16" t="inlineStr">
        <is>
          <t>Deployments: create, scale, roll out a new version, roll back.</t>
        </is>
      </c>
      <c r="F22" s="15" t="inlineStr">
        <is>
          <t>https://kubernetes.io/docs/concepts/workloads/controllers/deployment/</t>
        </is>
      </c>
      <c r="G22" s="15" t="inlineStr">
        <is>
          <t>Hands On Kubernetes: "Kubernetes Deployments: Streamlining Application Deployment"</t>
        </is>
      </c>
      <c r="H22" s="17" t="n"/>
      <c r="I22" s="17" t="n"/>
      <c r="J22" s="17" t="n"/>
    </row>
    <row r="23">
      <c r="A23" s="16" t="n">
        <v>18</v>
      </c>
      <c r="B23" s="16" t="n">
        <v>3</v>
      </c>
      <c r="C23" s="16" t="inlineStr">
        <is>
          <t>Learn</t>
        </is>
      </c>
      <c r="D23" s="16" t="inlineStr">
        <is>
          <t>Kubernetes I</t>
        </is>
      </c>
      <c r="E23" s="16" t="inlineStr">
        <is>
          <t>Services, labels and selectors: ClusterIP vs NodePort; kubectl port-forward.</t>
        </is>
      </c>
      <c r="F23" s="15" t="inlineStr">
        <is>
          <t>https://kubernetes.io/docs/concepts/services-networking/service/</t>
        </is>
      </c>
      <c r="G23" s="15" t="inlineStr">
        <is>
          <t>Hands On Kubernetes: "Project Lab: Scaling a Multi-Tier Web Application"</t>
        </is>
      </c>
      <c r="H23" s="17" t="n"/>
      <c r="I23" s="17" t="n"/>
      <c r="J23" s="17" t="n"/>
    </row>
    <row r="24">
      <c r="A24" s="16" t="n">
        <v>19</v>
      </c>
      <c r="B24" s="16" t="n">
        <v>3</v>
      </c>
      <c r="C24" s="16" t="inlineStr">
        <is>
          <t>Learn</t>
        </is>
      </c>
      <c r="D24" s="16" t="inlineStr">
        <is>
          <t>Kubernetes I</t>
        </is>
      </c>
      <c r="E24" s="16" t="inlineStr">
        <is>
          <t>Namespaces and kubectl productivity: -o wide, -o yaml, get events, describe.</t>
        </is>
      </c>
      <c r="F24" s="15" t="inlineStr">
        <is>
          <t>https://kubernetes.io/docs/reference/kubectl/quick-reference/</t>
        </is>
      </c>
      <c r="G24" s="15" t="inlineStr">
        <is>
          <t>Hands On Kubernetes: "Introduction to Kubernetes project &amp; basic commands overview"</t>
        </is>
      </c>
      <c r="H24" s="17" t="n"/>
      <c r="I24" s="17" t="n"/>
      <c r="J24" s="17" t="n"/>
    </row>
    <row r="25">
      <c r="A25" s="14" t="n">
        <v>20</v>
      </c>
      <c r="B25" s="14" t="n">
        <v>3</v>
      </c>
      <c r="C25" s="14" t="inlineStr">
        <is>
          <t>Build (60 min)</t>
        </is>
      </c>
      <c r="D25" s="14" t="inlineStr">
        <is>
          <t>Kubernetes I</t>
        </is>
      </c>
      <c r="E25" s="14" t="inlineStr">
        <is>
          <t>Deploy your Week 2 image to kind with a Deployment + Service. Break it on purpose (wrong image tag) and fix it using describe and events.</t>
        </is>
      </c>
      <c r="F25" s="15" t="inlineStr">
        <is>
          <t>https://github.com/TechSckoolByVijay/75-day-career-upgrade/tree/main/week-03-kubernetes-1</t>
        </is>
      </c>
      <c r="G25" s="15" t="inlineStr">
        <is>
          <t>k8s Production Readiness: "k8s live troubleshooting, parts 1-4"</t>
        </is>
      </c>
      <c r="H25" s="17" t="n"/>
      <c r="I25" s="17" t="n"/>
      <c r="J25" s="17" t="n"/>
    </row>
    <row r="26">
      <c r="A26" s="14" t="n">
        <v>21</v>
      </c>
      <c r="B26" s="14" t="n">
        <v>3</v>
      </c>
      <c r="C26" s="14" t="inlineStr">
        <is>
          <t>Catch up / rest</t>
        </is>
      </c>
      <c r="D26" s="14" t="inlineStr">
        <is>
          <t>Kubernetes I</t>
        </is>
      </c>
      <c r="E26" s="14" t="inlineStr">
        <is>
          <t>Finish the week. Weekly reflection.</t>
        </is>
      </c>
      <c r="F26" s="16" t="inlineStr"/>
      <c r="G26" s="16" t="inlineStr"/>
      <c r="H26" s="17" t="n"/>
      <c r="I26" s="17" t="n"/>
      <c r="J26" s="17" t="n"/>
    </row>
    <row r="27">
      <c r="A27" s="16" t="n">
        <v>22</v>
      </c>
      <c r="B27" s="16" t="n">
        <v>4</v>
      </c>
      <c r="C27" s="16" t="inlineStr">
        <is>
          <t>Learn</t>
        </is>
      </c>
      <c r="D27" s="16" t="inlineStr">
        <is>
          <t>Kubernetes II: production basics</t>
        </is>
      </c>
      <c r="E27" s="16" t="inlineStr">
        <is>
          <t>Opens when Week 4 starts: see the Week 4 lesson. (Kubernetes II: production basics)</t>
        </is>
      </c>
      <c r="F27" s="15" t="inlineStr">
        <is>
          <t>https://github.com/TechSckoolByVijay/75-day-career-upgrade/tree/main/week-04-kubernetes-2</t>
        </is>
      </c>
      <c r="G27" s="15" t="inlineStr">
        <is>
          <t>Hands On Kubernetes: "Resource Requests &amp; Limits; ConfigMaps and Secrets; Persistent Volumes" · k8s Production Readiness: "Production Incident Response &amp; Live Troubleshooting"</t>
        </is>
      </c>
      <c r="H27" s="17" t="n"/>
      <c r="I27" s="17" t="n"/>
      <c r="J27" s="17" t="n"/>
    </row>
    <row r="28">
      <c r="A28" s="16" t="n">
        <v>23</v>
      </c>
      <c r="B28" s="16" t="n">
        <v>4</v>
      </c>
      <c r="C28" s="16" t="inlineStr">
        <is>
          <t>Learn</t>
        </is>
      </c>
      <c r="D28" s="16" t="inlineStr">
        <is>
          <t>Kubernetes II: production basics</t>
        </is>
      </c>
      <c r="E28" s="16" t="inlineStr">
        <is>
          <t>Opens when Week 4 starts: see the Week 4 lesson. (Kubernetes II: production basics)</t>
        </is>
      </c>
      <c r="F28" s="15" t="inlineStr">
        <is>
          <t>https://github.com/TechSckoolByVijay/75-day-career-upgrade/tree/main/week-04-kubernetes-2</t>
        </is>
      </c>
      <c r="G28" s="15" t="inlineStr">
        <is>
          <t>Hands On Kubernetes: "Resource Requests &amp; Limits; ConfigMaps and Secrets; Persistent Volumes" · k8s Production Readiness: "Production Incident Response &amp; Live Troubleshooting"</t>
        </is>
      </c>
      <c r="H28" s="17" t="n"/>
      <c r="I28" s="17" t="n"/>
      <c r="J28" s="17" t="n"/>
    </row>
    <row r="29">
      <c r="A29" s="16" t="n">
        <v>24</v>
      </c>
      <c r="B29" s="16" t="n">
        <v>4</v>
      </c>
      <c r="C29" s="16" t="inlineStr">
        <is>
          <t>Learn</t>
        </is>
      </c>
      <c r="D29" s="16" t="inlineStr">
        <is>
          <t>Kubernetes II: production basics</t>
        </is>
      </c>
      <c r="E29" s="16" t="inlineStr">
        <is>
          <t>Opens when Week 4 starts: see the Week 4 lesson. (Kubernetes II: production basics)</t>
        </is>
      </c>
      <c r="F29" s="15" t="inlineStr">
        <is>
          <t>https://github.com/TechSckoolByVijay/75-day-career-upgrade/tree/main/week-04-kubernetes-2</t>
        </is>
      </c>
      <c r="G29" s="15" t="inlineStr">
        <is>
          <t>Hands On Kubernetes: "Resource Requests &amp; Limits; ConfigMaps and Secrets; Persistent Volumes" · k8s Production Readiness: "Production Incident Response &amp; Live Troubleshooting"</t>
        </is>
      </c>
      <c r="H29" s="17" t="n"/>
      <c r="I29" s="17" t="n"/>
      <c r="J29" s="17" t="n"/>
    </row>
    <row r="30">
      <c r="A30" s="16" t="n">
        <v>25</v>
      </c>
      <c r="B30" s="16" t="n">
        <v>4</v>
      </c>
      <c r="C30" s="16" t="inlineStr">
        <is>
          <t>Learn</t>
        </is>
      </c>
      <c r="D30" s="16" t="inlineStr">
        <is>
          <t>Kubernetes II: production basics</t>
        </is>
      </c>
      <c r="E30" s="16" t="inlineStr">
        <is>
          <t>Opens when Week 4 starts: see the Week 4 lesson. (Kubernetes II: production basics)</t>
        </is>
      </c>
      <c r="F30" s="15" t="inlineStr">
        <is>
          <t>https://github.com/TechSckoolByVijay/75-day-career-upgrade/tree/main/week-04-kubernetes-2</t>
        </is>
      </c>
      <c r="G30" s="15" t="inlineStr">
        <is>
          <t>Hands On Kubernetes: "Resource Requests &amp; Limits; ConfigMaps and Secrets; Persistent Volumes" · k8s Production Readiness: "Production Incident Response &amp; Live Troubleshooting"</t>
        </is>
      </c>
      <c r="H30" s="17" t="n"/>
      <c r="I30" s="17" t="n"/>
      <c r="J30" s="17" t="n"/>
    </row>
    <row r="31">
      <c r="A31" s="16" t="n">
        <v>26</v>
      </c>
      <c r="B31" s="16" t="n">
        <v>4</v>
      </c>
      <c r="C31" s="16" t="inlineStr">
        <is>
          <t>Learn</t>
        </is>
      </c>
      <c r="D31" s="16" t="inlineStr">
        <is>
          <t>Kubernetes II: production basics</t>
        </is>
      </c>
      <c r="E31" s="16" t="inlineStr">
        <is>
          <t>Opens when Week 4 starts: see the Week 4 lesson. (Kubernetes II: production basics)</t>
        </is>
      </c>
      <c r="F31" s="15" t="inlineStr">
        <is>
          <t>https://github.com/TechSckoolByVijay/75-day-career-upgrade/tree/main/week-04-kubernetes-2</t>
        </is>
      </c>
      <c r="G31" s="15" t="inlineStr">
        <is>
          <t>Hands On Kubernetes: "Resource Requests &amp; Limits; ConfigMaps and Secrets; Persistent Volumes" · k8s Production Readiness: "Production Incident Response &amp; Live Troubleshooting"</t>
        </is>
      </c>
      <c r="H31" s="17" t="n"/>
      <c r="I31" s="17" t="n"/>
      <c r="J31" s="17" t="n"/>
    </row>
    <row r="32">
      <c r="A32" s="14" t="n">
        <v>27</v>
      </c>
      <c r="B32" s="14" t="n">
        <v>4</v>
      </c>
      <c r="C32" s="14" t="inlineStr">
        <is>
          <t>Build (60 min)</t>
        </is>
      </c>
      <c r="D32" s="14" t="inlineStr">
        <is>
          <t>Kubernetes II: production basics</t>
        </is>
      </c>
      <c r="E32" s="14" t="inlineStr">
        <is>
          <t>Opens when Week 4 starts: see the Week 4 lesson. (Kubernetes II: production basics)</t>
        </is>
      </c>
      <c r="F32" s="15" t="inlineStr">
        <is>
          <t>https://github.com/TechSckoolByVijay/75-day-career-upgrade/tree/main/week-04-kubernetes-2</t>
        </is>
      </c>
      <c r="G32" s="15" t="inlineStr">
        <is>
          <t>Hands On Kubernetes: "Resource Requests &amp; Limits; ConfigMaps and Secrets; Persistent Volumes" · k8s Production Readiness: "Production Incident Response &amp; Live Troubleshooting"</t>
        </is>
      </c>
      <c r="H32" s="17" t="n"/>
      <c r="I32" s="17" t="n"/>
      <c r="J32" s="17" t="n"/>
    </row>
    <row r="33">
      <c r="A33" s="14" t="n">
        <v>28</v>
      </c>
      <c r="B33" s="14" t="n">
        <v>4</v>
      </c>
      <c r="C33" s="14" t="inlineStr">
        <is>
          <t>Catch up / rest</t>
        </is>
      </c>
      <c r="D33" s="14" t="inlineStr">
        <is>
          <t>Kubernetes II: production basics</t>
        </is>
      </c>
      <c r="E33" s="14" t="inlineStr">
        <is>
          <t>Opens when Week 4 starts: see the Week 4 lesson. (Kubernetes II: production basics)</t>
        </is>
      </c>
      <c r="F33" s="15" t="inlineStr">
        <is>
          <t>https://github.com/TechSckoolByVijay/75-day-career-upgrade/tree/main/week-04-kubernetes-2</t>
        </is>
      </c>
      <c r="G33" s="15" t="inlineStr">
        <is>
          <t>Hands On Kubernetes: "Resource Requests &amp; Limits; ConfigMaps and Secrets; Persistent Volumes" · k8s Production Readiness: "Production Incident Response &amp; Live Troubleshooting"</t>
        </is>
      </c>
      <c r="H33" s="17" t="n"/>
      <c r="I33" s="17" t="n"/>
      <c r="J33" s="17" t="n"/>
    </row>
    <row r="34">
      <c r="A34" s="16" t="n">
        <v>29</v>
      </c>
      <c r="B34" s="16" t="n">
        <v>5</v>
      </c>
      <c r="C34" s="16" t="inlineStr">
        <is>
          <t>Learn</t>
        </is>
      </c>
      <c r="D34" s="16" t="inlineStr">
        <is>
          <t>Checkpoint 1: projects + self-check</t>
        </is>
      </c>
      <c r="E34" s="16" t="inlineStr">
        <is>
          <t>Opens when Week 5 starts: see the Week 5 lesson. (Checkpoint 1: projects + self-check)</t>
        </is>
      </c>
      <c r="F34" s="15" t="inlineStr">
        <is>
          <t>https://github.com/TechSckoolByVijay/75-day-career-upgrade/tree/main/week-05-checkpoint-1</t>
        </is>
      </c>
      <c r="G34" s="15" t="inlineStr">
        <is>
          <t>Hands On Kubernetes: "Project Lab: Scaling a Multi-Tier Web Application"</t>
        </is>
      </c>
      <c r="H34" s="17" t="n"/>
      <c r="I34" s="17" t="n"/>
      <c r="J34" s="17" t="n"/>
    </row>
    <row r="35">
      <c r="A35" s="16" t="n">
        <v>30</v>
      </c>
      <c r="B35" s="16" t="n">
        <v>5</v>
      </c>
      <c r="C35" s="16" t="inlineStr">
        <is>
          <t>Learn</t>
        </is>
      </c>
      <c r="D35" s="16" t="inlineStr">
        <is>
          <t>Checkpoint 1: projects + self-check</t>
        </is>
      </c>
      <c r="E35" s="16" t="inlineStr">
        <is>
          <t>Opens when Week 5 starts: see the Week 5 lesson. (Checkpoint 1: projects + self-check)</t>
        </is>
      </c>
      <c r="F35" s="15" t="inlineStr">
        <is>
          <t>https://github.com/TechSckoolByVijay/75-day-career-upgrade/tree/main/week-05-checkpoint-1</t>
        </is>
      </c>
      <c r="G35" s="15" t="inlineStr">
        <is>
          <t>Hands On Kubernetes: "Project Lab: Scaling a Multi-Tier Web Application"</t>
        </is>
      </c>
      <c r="H35" s="17" t="n"/>
      <c r="I35" s="17" t="n"/>
      <c r="J35" s="17" t="n"/>
    </row>
    <row r="36">
      <c r="A36" s="16" t="n">
        <v>31</v>
      </c>
      <c r="B36" s="16" t="n">
        <v>5</v>
      </c>
      <c r="C36" s="16" t="inlineStr">
        <is>
          <t>Learn</t>
        </is>
      </c>
      <c r="D36" s="16" t="inlineStr">
        <is>
          <t>Checkpoint 1: projects + self-check</t>
        </is>
      </c>
      <c r="E36" s="16" t="inlineStr">
        <is>
          <t>Opens when Week 5 starts: see the Week 5 lesson. (Checkpoint 1: projects + self-check)</t>
        </is>
      </c>
      <c r="F36" s="15" t="inlineStr">
        <is>
          <t>https://github.com/TechSckoolByVijay/75-day-career-upgrade/tree/main/week-05-checkpoint-1</t>
        </is>
      </c>
      <c r="G36" s="15" t="inlineStr">
        <is>
          <t>Hands On Kubernetes: "Project Lab: Scaling a Multi-Tier Web Application"</t>
        </is>
      </c>
      <c r="H36" s="17" t="n"/>
      <c r="I36" s="17" t="n"/>
      <c r="J36" s="17" t="n"/>
    </row>
    <row r="37">
      <c r="A37" s="16" t="n">
        <v>32</v>
      </c>
      <c r="B37" s="16" t="n">
        <v>5</v>
      </c>
      <c r="C37" s="16" t="inlineStr">
        <is>
          <t>Learn</t>
        </is>
      </c>
      <c r="D37" s="16" t="inlineStr">
        <is>
          <t>Checkpoint 1: projects + self-check</t>
        </is>
      </c>
      <c r="E37" s="16" t="inlineStr">
        <is>
          <t>Opens when Week 5 starts: see the Week 5 lesson. (Checkpoint 1: projects + self-check)</t>
        </is>
      </c>
      <c r="F37" s="15" t="inlineStr">
        <is>
          <t>https://github.com/TechSckoolByVijay/75-day-career-upgrade/tree/main/week-05-checkpoint-1</t>
        </is>
      </c>
      <c r="G37" s="15" t="inlineStr">
        <is>
          <t>Hands On Kubernetes: "Project Lab: Scaling a Multi-Tier Web Application"</t>
        </is>
      </c>
      <c r="H37" s="17" t="n"/>
      <c r="I37" s="17" t="n"/>
      <c r="J37" s="17" t="n"/>
    </row>
    <row r="38">
      <c r="A38" s="16" t="n">
        <v>33</v>
      </c>
      <c r="B38" s="16" t="n">
        <v>5</v>
      </c>
      <c r="C38" s="16" t="inlineStr">
        <is>
          <t>Learn</t>
        </is>
      </c>
      <c r="D38" s="16" t="inlineStr">
        <is>
          <t>Checkpoint 1: projects + self-check</t>
        </is>
      </c>
      <c r="E38" s="16" t="inlineStr">
        <is>
          <t>Opens when Week 5 starts: see the Week 5 lesson. (Checkpoint 1: projects + self-check)</t>
        </is>
      </c>
      <c r="F38" s="15" t="inlineStr">
        <is>
          <t>https://github.com/TechSckoolByVijay/75-day-career-upgrade/tree/main/week-05-checkpoint-1</t>
        </is>
      </c>
      <c r="G38" s="15" t="inlineStr">
        <is>
          <t>Hands On Kubernetes: "Project Lab: Scaling a Multi-Tier Web Application"</t>
        </is>
      </c>
      <c r="H38" s="17" t="n"/>
      <c r="I38" s="17" t="n"/>
      <c r="J38" s="17" t="n"/>
    </row>
    <row r="39">
      <c r="A39" s="14" t="n">
        <v>34</v>
      </c>
      <c r="B39" s="14" t="n">
        <v>5</v>
      </c>
      <c r="C39" s="14" t="inlineStr">
        <is>
          <t>Build (60 min)</t>
        </is>
      </c>
      <c r="D39" s="14" t="inlineStr">
        <is>
          <t>Checkpoint 1: projects + self-check</t>
        </is>
      </c>
      <c r="E39" s="14" t="inlineStr">
        <is>
          <t>Opens when Week 5 starts: see the Week 5 lesson. (Checkpoint 1: projects + self-check)</t>
        </is>
      </c>
      <c r="F39" s="15" t="inlineStr">
        <is>
          <t>https://github.com/TechSckoolByVijay/75-day-career-upgrade/tree/main/week-05-checkpoint-1</t>
        </is>
      </c>
      <c r="G39" s="15" t="inlineStr">
        <is>
          <t>Hands On Kubernetes: "Project Lab: Scaling a Multi-Tier Web Application"</t>
        </is>
      </c>
      <c r="H39" s="17" t="n"/>
      <c r="I39" s="17" t="n"/>
      <c r="J39" s="17" t="n"/>
    </row>
    <row r="40">
      <c r="A40" s="14" t="n">
        <v>35</v>
      </c>
      <c r="B40" s="14" t="n">
        <v>5</v>
      </c>
      <c r="C40" s="14" t="inlineStr">
        <is>
          <t>Catch up / rest</t>
        </is>
      </c>
      <c r="D40" s="14" t="inlineStr">
        <is>
          <t>Checkpoint 1: projects + self-check</t>
        </is>
      </c>
      <c r="E40" s="14" t="inlineStr">
        <is>
          <t>Opens when Week 5 starts: see the Week 5 lesson. (Checkpoint 1: projects + self-check)</t>
        </is>
      </c>
      <c r="F40" s="15" t="inlineStr">
        <is>
          <t>https://github.com/TechSckoolByVijay/75-day-career-upgrade/tree/main/week-05-checkpoint-1</t>
        </is>
      </c>
      <c r="G40" s="15" t="inlineStr">
        <is>
          <t>Hands On Kubernetes: "Project Lab: Scaling a Multi-Tier Web Application"</t>
        </is>
      </c>
      <c r="H40" s="17" t="n"/>
      <c r="I40" s="17" t="n"/>
      <c r="J40" s="17" t="n"/>
    </row>
    <row r="41">
      <c r="A41" s="16" t="n">
        <v>36</v>
      </c>
      <c r="B41" s="16" t="n">
        <v>6</v>
      </c>
      <c r="C41" s="16" t="inlineStr">
        <is>
          <t>Learn</t>
        </is>
      </c>
      <c r="D41" s="16" t="inlineStr">
        <is>
          <t>CI/CD with GitHub Actions</t>
        </is>
      </c>
      <c r="E41" s="16" t="inlineStr">
        <is>
          <t>Opens when Week 6 starts: see the Week 6 lesson. (CI/CD with GitHub Actions)</t>
        </is>
      </c>
      <c r="F41" s="15" t="inlineStr">
        <is>
          <t>https://github.com/TechSckoolByVijay/75-day-career-upgrade/tree/main/week-06-cicd</t>
        </is>
      </c>
      <c r="G41" s="15" t="inlineStr">
        <is>
          <t>Learning GitHub Actions for DevOps CI/CD: "the whole course; for the project: Building, Pushing &amp; Deploying Docker Containers"</t>
        </is>
      </c>
      <c r="H41" s="17" t="n"/>
      <c r="I41" s="17" t="n"/>
      <c r="J41" s="17" t="n"/>
    </row>
    <row r="42">
      <c r="A42" s="16" t="n">
        <v>37</v>
      </c>
      <c r="B42" s="16" t="n">
        <v>6</v>
      </c>
      <c r="C42" s="16" t="inlineStr">
        <is>
          <t>Learn</t>
        </is>
      </c>
      <c r="D42" s="16" t="inlineStr">
        <is>
          <t>CI/CD with GitHub Actions</t>
        </is>
      </c>
      <c r="E42" s="16" t="inlineStr">
        <is>
          <t>Opens when Week 6 starts: see the Week 6 lesson. (CI/CD with GitHub Actions)</t>
        </is>
      </c>
      <c r="F42" s="15" t="inlineStr">
        <is>
          <t>https://github.com/TechSckoolByVijay/75-day-career-upgrade/tree/main/week-06-cicd</t>
        </is>
      </c>
      <c r="G42" s="15" t="inlineStr">
        <is>
          <t>Learning GitHub Actions for DevOps CI/CD: "the whole course; for the project: Building, Pushing &amp; Deploying Docker Containers"</t>
        </is>
      </c>
      <c r="H42" s="17" t="n"/>
      <c r="I42" s="17" t="n"/>
      <c r="J42" s="17" t="n"/>
    </row>
    <row r="43">
      <c r="A43" s="16" t="n">
        <v>38</v>
      </c>
      <c r="B43" s="16" t="n">
        <v>6</v>
      </c>
      <c r="C43" s="16" t="inlineStr">
        <is>
          <t>Learn</t>
        </is>
      </c>
      <c r="D43" s="16" t="inlineStr">
        <is>
          <t>CI/CD with GitHub Actions</t>
        </is>
      </c>
      <c r="E43" s="16" t="inlineStr">
        <is>
          <t>Opens when Week 6 starts: see the Week 6 lesson. (CI/CD with GitHub Actions)</t>
        </is>
      </c>
      <c r="F43" s="15" t="inlineStr">
        <is>
          <t>https://github.com/TechSckoolByVijay/75-day-career-upgrade/tree/main/week-06-cicd</t>
        </is>
      </c>
      <c r="G43" s="15" t="inlineStr">
        <is>
          <t>Learning GitHub Actions for DevOps CI/CD: "the whole course; for the project: Building, Pushing &amp; Deploying Docker Containers"</t>
        </is>
      </c>
      <c r="H43" s="17" t="n"/>
      <c r="I43" s="17" t="n"/>
      <c r="J43" s="17" t="n"/>
    </row>
    <row r="44">
      <c r="A44" s="16" t="n">
        <v>39</v>
      </c>
      <c r="B44" s="16" t="n">
        <v>6</v>
      </c>
      <c r="C44" s="16" t="inlineStr">
        <is>
          <t>Learn</t>
        </is>
      </c>
      <c r="D44" s="16" t="inlineStr">
        <is>
          <t>CI/CD with GitHub Actions</t>
        </is>
      </c>
      <c r="E44" s="16" t="inlineStr">
        <is>
          <t>Opens when Week 6 starts: see the Week 6 lesson. (CI/CD with GitHub Actions)</t>
        </is>
      </c>
      <c r="F44" s="15" t="inlineStr">
        <is>
          <t>https://github.com/TechSckoolByVijay/75-day-career-upgrade/tree/main/week-06-cicd</t>
        </is>
      </c>
      <c r="G44" s="15" t="inlineStr">
        <is>
          <t>Learning GitHub Actions for DevOps CI/CD: "the whole course; for the project: Building, Pushing &amp; Deploying Docker Containers"</t>
        </is>
      </c>
      <c r="H44" s="17" t="n"/>
      <c r="I44" s="17" t="n"/>
      <c r="J44" s="17" t="n"/>
    </row>
    <row r="45">
      <c r="A45" s="16" t="n">
        <v>40</v>
      </c>
      <c r="B45" s="16" t="n">
        <v>6</v>
      </c>
      <c r="C45" s="16" t="inlineStr">
        <is>
          <t>Learn</t>
        </is>
      </c>
      <c r="D45" s="16" t="inlineStr">
        <is>
          <t>CI/CD with GitHub Actions</t>
        </is>
      </c>
      <c r="E45" s="16" t="inlineStr">
        <is>
          <t>Opens when Week 6 starts: see the Week 6 lesson. (CI/CD with GitHub Actions)</t>
        </is>
      </c>
      <c r="F45" s="15" t="inlineStr">
        <is>
          <t>https://github.com/TechSckoolByVijay/75-day-career-upgrade/tree/main/week-06-cicd</t>
        </is>
      </c>
      <c r="G45" s="15" t="inlineStr">
        <is>
          <t>Learning GitHub Actions for DevOps CI/CD: "the whole course; for the project: Building, Pushing &amp; Deploying Docker Containers"</t>
        </is>
      </c>
      <c r="H45" s="17" t="n"/>
      <c r="I45" s="17" t="n"/>
      <c r="J45" s="17" t="n"/>
    </row>
    <row r="46">
      <c r="A46" s="14" t="n">
        <v>41</v>
      </c>
      <c r="B46" s="14" t="n">
        <v>6</v>
      </c>
      <c r="C46" s="14" t="inlineStr">
        <is>
          <t>Build (60 min)</t>
        </is>
      </c>
      <c r="D46" s="14" t="inlineStr">
        <is>
          <t>CI/CD with GitHub Actions</t>
        </is>
      </c>
      <c r="E46" s="14" t="inlineStr">
        <is>
          <t>Opens when Week 6 starts: see the Week 6 lesson. (CI/CD with GitHub Actions)</t>
        </is>
      </c>
      <c r="F46" s="15" t="inlineStr">
        <is>
          <t>https://github.com/TechSckoolByVijay/75-day-career-upgrade/tree/main/week-06-cicd</t>
        </is>
      </c>
      <c r="G46" s="15" t="inlineStr">
        <is>
          <t>Learning GitHub Actions for DevOps CI/CD: "the whole course; for the project: Building, Pushing &amp; Deploying Docker Containers"</t>
        </is>
      </c>
      <c r="H46" s="17" t="n"/>
      <c r="I46" s="17" t="n"/>
      <c r="J46" s="17" t="n"/>
    </row>
    <row r="47">
      <c r="A47" s="14" t="n">
        <v>42</v>
      </c>
      <c r="B47" s="14" t="n">
        <v>6</v>
      </c>
      <c r="C47" s="14" t="inlineStr">
        <is>
          <t>Catch up / rest</t>
        </is>
      </c>
      <c r="D47" s="14" t="inlineStr">
        <is>
          <t>CI/CD with GitHub Actions</t>
        </is>
      </c>
      <c r="E47" s="14" t="inlineStr">
        <is>
          <t>Opens when Week 6 starts: see the Week 6 lesson. (CI/CD with GitHub Actions)</t>
        </is>
      </c>
      <c r="F47" s="15" t="inlineStr">
        <is>
          <t>https://github.com/TechSckoolByVijay/75-day-career-upgrade/tree/main/week-06-cicd</t>
        </is>
      </c>
      <c r="G47" s="15" t="inlineStr">
        <is>
          <t>Learning GitHub Actions for DevOps CI/CD: "the whole course; for the project: Building, Pushing &amp; Deploying Docker Containers"</t>
        </is>
      </c>
      <c r="H47" s="17" t="n"/>
      <c r="I47" s="17" t="n"/>
      <c r="J47" s="17" t="n"/>
    </row>
    <row r="48">
      <c r="A48" s="16" t="n">
        <v>43</v>
      </c>
      <c r="B48" s="16" t="n">
        <v>7</v>
      </c>
      <c r="C48" s="16" t="inlineStr">
        <is>
          <t>Learn</t>
        </is>
      </c>
      <c r="D48" s="16" t="inlineStr">
        <is>
          <t>Cloud for admins (Azure)</t>
        </is>
      </c>
      <c r="E48" s="16" t="inlineStr">
        <is>
          <t>Opens when Week 7 starts: see the Week 7 lesson. (Cloud for admins (Azure))</t>
        </is>
      </c>
      <c r="F48" s="15" t="inlineStr">
        <is>
          <t>https://github.com/TechSckoolByVijay/75-day-career-upgrade/tree/main/week-07-cloud</t>
        </is>
      </c>
      <c r="G48" s="15" t="inlineStr">
        <is>
          <t>AZ-900 Azure Fundamentals Quick Prep: "Core Azure services, identity, cost" · Learning Microsoft Azure: A Hands-On Training: "Projects 1-2: static website, website on a VM"</t>
        </is>
      </c>
      <c r="H48" s="17" t="n"/>
      <c r="I48" s="17" t="n"/>
      <c r="J48" s="17" t="n"/>
    </row>
    <row r="49">
      <c r="A49" s="16" t="n">
        <v>44</v>
      </c>
      <c r="B49" s="16" t="n">
        <v>7</v>
      </c>
      <c r="C49" s="16" t="inlineStr">
        <is>
          <t>Learn</t>
        </is>
      </c>
      <c r="D49" s="16" t="inlineStr">
        <is>
          <t>Cloud for admins (Azure)</t>
        </is>
      </c>
      <c r="E49" s="16" t="inlineStr">
        <is>
          <t>Opens when Week 7 starts: see the Week 7 lesson. (Cloud for admins (Azure))</t>
        </is>
      </c>
      <c r="F49" s="15" t="inlineStr">
        <is>
          <t>https://github.com/TechSckoolByVijay/75-day-career-upgrade/tree/main/week-07-cloud</t>
        </is>
      </c>
      <c r="G49" s="15" t="inlineStr">
        <is>
          <t>AZ-900 Azure Fundamentals Quick Prep: "Core Azure services, identity, cost" · Learning Microsoft Azure: A Hands-On Training: "Projects 1-2: static website, website on a VM"</t>
        </is>
      </c>
      <c r="H49" s="17" t="n"/>
      <c r="I49" s="17" t="n"/>
      <c r="J49" s="17" t="n"/>
    </row>
    <row r="50">
      <c r="A50" s="16" t="n">
        <v>45</v>
      </c>
      <c r="B50" s="16" t="n">
        <v>7</v>
      </c>
      <c r="C50" s="16" t="inlineStr">
        <is>
          <t>Learn</t>
        </is>
      </c>
      <c r="D50" s="16" t="inlineStr">
        <is>
          <t>Cloud for admins (Azure)</t>
        </is>
      </c>
      <c r="E50" s="16" t="inlineStr">
        <is>
          <t>Opens when Week 7 starts: see the Week 7 lesson. (Cloud for admins (Azure))</t>
        </is>
      </c>
      <c r="F50" s="15" t="inlineStr">
        <is>
          <t>https://github.com/TechSckoolByVijay/75-day-career-upgrade/tree/main/week-07-cloud</t>
        </is>
      </c>
      <c r="G50" s="15" t="inlineStr">
        <is>
          <t>AZ-900 Azure Fundamentals Quick Prep: "Core Azure services, identity, cost" · Learning Microsoft Azure: A Hands-On Training: "Projects 1-2: static website, website on a VM"</t>
        </is>
      </c>
      <c r="H50" s="17" t="n"/>
      <c r="I50" s="17" t="n"/>
      <c r="J50" s="17" t="n"/>
    </row>
    <row r="51">
      <c r="A51" s="16" t="n">
        <v>46</v>
      </c>
      <c r="B51" s="16" t="n">
        <v>7</v>
      </c>
      <c r="C51" s="16" t="inlineStr">
        <is>
          <t>Learn</t>
        </is>
      </c>
      <c r="D51" s="16" t="inlineStr">
        <is>
          <t>Cloud for admins (Azure)</t>
        </is>
      </c>
      <c r="E51" s="16" t="inlineStr">
        <is>
          <t>Opens when Week 7 starts: see the Week 7 lesson. (Cloud for admins (Azure))</t>
        </is>
      </c>
      <c r="F51" s="15" t="inlineStr">
        <is>
          <t>https://github.com/TechSckoolByVijay/75-day-career-upgrade/tree/main/week-07-cloud</t>
        </is>
      </c>
      <c r="G51" s="15" t="inlineStr">
        <is>
          <t>AZ-900 Azure Fundamentals Quick Prep: "Core Azure services, identity, cost" · Learning Microsoft Azure: A Hands-On Training: "Projects 1-2: static website, website on a VM"</t>
        </is>
      </c>
      <c r="H51" s="17" t="n"/>
      <c r="I51" s="17" t="n"/>
      <c r="J51" s="17" t="n"/>
    </row>
    <row r="52">
      <c r="A52" s="16" t="n">
        <v>47</v>
      </c>
      <c r="B52" s="16" t="n">
        <v>7</v>
      </c>
      <c r="C52" s="16" t="inlineStr">
        <is>
          <t>Learn</t>
        </is>
      </c>
      <c r="D52" s="16" t="inlineStr">
        <is>
          <t>Cloud for admins (Azure)</t>
        </is>
      </c>
      <c r="E52" s="16" t="inlineStr">
        <is>
          <t>Opens when Week 7 starts: see the Week 7 lesson. (Cloud for admins (Azure))</t>
        </is>
      </c>
      <c r="F52" s="15" t="inlineStr">
        <is>
          <t>https://github.com/TechSckoolByVijay/75-day-career-upgrade/tree/main/week-07-cloud</t>
        </is>
      </c>
      <c r="G52" s="15" t="inlineStr">
        <is>
          <t>AZ-900 Azure Fundamentals Quick Prep: "Core Azure services, identity, cost" · Learning Microsoft Azure: A Hands-On Training: "Projects 1-2: static website, website on a VM"</t>
        </is>
      </c>
      <c r="H52" s="17" t="n"/>
      <c r="I52" s="17" t="n"/>
      <c r="J52" s="17" t="n"/>
    </row>
    <row r="53">
      <c r="A53" s="14" t="n">
        <v>48</v>
      </c>
      <c r="B53" s="14" t="n">
        <v>7</v>
      </c>
      <c r="C53" s="14" t="inlineStr">
        <is>
          <t>Build (60 min)</t>
        </is>
      </c>
      <c r="D53" s="14" t="inlineStr">
        <is>
          <t>Cloud for admins (Azure)</t>
        </is>
      </c>
      <c r="E53" s="14" t="inlineStr">
        <is>
          <t>Opens when Week 7 starts: see the Week 7 lesson. (Cloud for admins (Azure))</t>
        </is>
      </c>
      <c r="F53" s="15" t="inlineStr">
        <is>
          <t>https://github.com/TechSckoolByVijay/75-day-career-upgrade/tree/main/week-07-cloud</t>
        </is>
      </c>
      <c r="G53" s="15" t="inlineStr">
        <is>
          <t>AZ-900 Azure Fundamentals Quick Prep: "Core Azure services, identity, cost" · Learning Microsoft Azure: A Hands-On Training: "Projects 1-2: static website, website on a VM"</t>
        </is>
      </c>
      <c r="H53" s="17" t="n"/>
      <c r="I53" s="17" t="n"/>
      <c r="J53" s="17" t="n"/>
    </row>
    <row r="54">
      <c r="A54" s="14" t="n">
        <v>49</v>
      </c>
      <c r="B54" s="14" t="n">
        <v>7</v>
      </c>
      <c r="C54" s="14" t="inlineStr">
        <is>
          <t>Catch up / rest</t>
        </is>
      </c>
      <c r="D54" s="14" t="inlineStr">
        <is>
          <t>Cloud for admins (Azure)</t>
        </is>
      </c>
      <c r="E54" s="14" t="inlineStr">
        <is>
          <t>Opens when Week 7 starts: see the Week 7 lesson. (Cloud for admins (Azure))</t>
        </is>
      </c>
      <c r="F54" s="15" t="inlineStr">
        <is>
          <t>https://github.com/TechSckoolByVijay/75-day-career-upgrade/tree/main/week-07-cloud</t>
        </is>
      </c>
      <c r="G54" s="15" t="inlineStr">
        <is>
          <t>AZ-900 Azure Fundamentals Quick Prep: "Core Azure services, identity, cost" · Learning Microsoft Azure: A Hands-On Training: "Projects 1-2: static website, website on a VM"</t>
        </is>
      </c>
      <c r="H54" s="17" t="n"/>
      <c r="I54" s="17" t="n"/>
      <c r="J54" s="17" t="n"/>
    </row>
    <row r="55">
      <c r="A55" s="16" t="n">
        <v>50</v>
      </c>
      <c r="B55" s="16" t="n">
        <v>8</v>
      </c>
      <c r="C55" s="16" t="inlineStr">
        <is>
          <t>Learn</t>
        </is>
      </c>
      <c r="D55" s="16" t="inlineStr">
        <is>
          <t>Terraform (infrastructure as code)</t>
        </is>
      </c>
      <c r="E55" s="16" t="inlineStr">
        <is>
          <t>Opens when Week 8 starts: see the Week 8 lesson. (Terraform (infrastructure as code))</t>
        </is>
      </c>
      <c r="F55" s="15" t="inlineStr">
        <is>
          <t>https://github.com/TechSckoolByVijay/75-day-career-upgrade/tree/main/week-08-terraform</t>
        </is>
      </c>
      <c r="G55" s="15" t="inlineStr">
        <is>
          <t>Terraform For GenAI DevOps Engineer: "Terraform Foundations &amp; Core Workflow; Variables, Dependencies &amp; State"</t>
        </is>
      </c>
      <c r="H55" s="17" t="n"/>
      <c r="I55" s="17" t="n"/>
      <c r="J55" s="17" t="n"/>
    </row>
    <row r="56">
      <c r="A56" s="16" t="n">
        <v>51</v>
      </c>
      <c r="B56" s="16" t="n">
        <v>8</v>
      </c>
      <c r="C56" s="16" t="inlineStr">
        <is>
          <t>Learn</t>
        </is>
      </c>
      <c r="D56" s="16" t="inlineStr">
        <is>
          <t>Terraform (infrastructure as code)</t>
        </is>
      </c>
      <c r="E56" s="16" t="inlineStr">
        <is>
          <t>Opens when Week 8 starts: see the Week 8 lesson. (Terraform (infrastructure as code))</t>
        </is>
      </c>
      <c r="F56" s="15" t="inlineStr">
        <is>
          <t>https://github.com/TechSckoolByVijay/75-day-career-upgrade/tree/main/week-08-terraform</t>
        </is>
      </c>
      <c r="G56" s="15" t="inlineStr">
        <is>
          <t>Terraform For GenAI DevOps Engineer: "Terraform Foundations &amp; Core Workflow; Variables, Dependencies &amp; State"</t>
        </is>
      </c>
      <c r="H56" s="17" t="n"/>
      <c r="I56" s="17" t="n"/>
      <c r="J56" s="17" t="n"/>
    </row>
    <row r="57">
      <c r="A57" s="16" t="n">
        <v>52</v>
      </c>
      <c r="B57" s="16" t="n">
        <v>8</v>
      </c>
      <c r="C57" s="16" t="inlineStr">
        <is>
          <t>Learn</t>
        </is>
      </c>
      <c r="D57" s="16" t="inlineStr">
        <is>
          <t>Terraform (infrastructure as code)</t>
        </is>
      </c>
      <c r="E57" s="16" t="inlineStr">
        <is>
          <t>Opens when Week 8 starts: see the Week 8 lesson. (Terraform (infrastructure as code))</t>
        </is>
      </c>
      <c r="F57" s="15" t="inlineStr">
        <is>
          <t>https://github.com/TechSckoolByVijay/75-day-career-upgrade/tree/main/week-08-terraform</t>
        </is>
      </c>
      <c r="G57" s="15" t="inlineStr">
        <is>
          <t>Terraform For GenAI DevOps Engineer: "Terraform Foundations &amp; Core Workflow; Variables, Dependencies &amp; State"</t>
        </is>
      </c>
      <c r="H57" s="17" t="n"/>
      <c r="I57" s="17" t="n"/>
      <c r="J57" s="17" t="n"/>
    </row>
    <row r="58">
      <c r="A58" s="16" t="n">
        <v>53</v>
      </c>
      <c r="B58" s="16" t="n">
        <v>8</v>
      </c>
      <c r="C58" s="16" t="inlineStr">
        <is>
          <t>Learn</t>
        </is>
      </c>
      <c r="D58" s="16" t="inlineStr">
        <is>
          <t>Terraform (infrastructure as code)</t>
        </is>
      </c>
      <c r="E58" s="16" t="inlineStr">
        <is>
          <t>Opens when Week 8 starts: see the Week 8 lesson. (Terraform (infrastructure as code))</t>
        </is>
      </c>
      <c r="F58" s="15" t="inlineStr">
        <is>
          <t>https://github.com/TechSckoolByVijay/75-day-career-upgrade/tree/main/week-08-terraform</t>
        </is>
      </c>
      <c r="G58" s="15" t="inlineStr">
        <is>
          <t>Terraform For GenAI DevOps Engineer: "Terraform Foundations &amp; Core Workflow; Variables, Dependencies &amp; State"</t>
        </is>
      </c>
      <c r="H58" s="17" t="n"/>
      <c r="I58" s="17" t="n"/>
      <c r="J58" s="17" t="n"/>
    </row>
    <row r="59">
      <c r="A59" s="16" t="n">
        <v>54</v>
      </c>
      <c r="B59" s="16" t="n">
        <v>8</v>
      </c>
      <c r="C59" s="16" t="inlineStr">
        <is>
          <t>Learn</t>
        </is>
      </c>
      <c r="D59" s="16" t="inlineStr">
        <is>
          <t>Terraform (infrastructure as code)</t>
        </is>
      </c>
      <c r="E59" s="16" t="inlineStr">
        <is>
          <t>Opens when Week 8 starts: see the Week 8 lesson. (Terraform (infrastructure as code))</t>
        </is>
      </c>
      <c r="F59" s="15" t="inlineStr">
        <is>
          <t>https://github.com/TechSckoolByVijay/75-day-career-upgrade/tree/main/week-08-terraform</t>
        </is>
      </c>
      <c r="G59" s="15" t="inlineStr">
        <is>
          <t>Terraform For GenAI DevOps Engineer: "Terraform Foundations &amp; Core Workflow; Variables, Dependencies &amp; State"</t>
        </is>
      </c>
      <c r="H59" s="17" t="n"/>
      <c r="I59" s="17" t="n"/>
      <c r="J59" s="17" t="n"/>
    </row>
    <row r="60">
      <c r="A60" s="14" t="n">
        <v>55</v>
      </c>
      <c r="B60" s="14" t="n">
        <v>8</v>
      </c>
      <c r="C60" s="14" t="inlineStr">
        <is>
          <t>Build (60 min)</t>
        </is>
      </c>
      <c r="D60" s="14" t="inlineStr">
        <is>
          <t>Terraform (infrastructure as code)</t>
        </is>
      </c>
      <c r="E60" s="14" t="inlineStr">
        <is>
          <t>Opens when Week 8 starts: see the Week 8 lesson. (Terraform (infrastructure as code))</t>
        </is>
      </c>
      <c r="F60" s="15" t="inlineStr">
        <is>
          <t>https://github.com/TechSckoolByVijay/75-day-career-upgrade/tree/main/week-08-terraform</t>
        </is>
      </c>
      <c r="G60" s="15" t="inlineStr">
        <is>
          <t>Terraform For GenAI DevOps Engineer: "Terraform Foundations &amp; Core Workflow; Variables, Dependencies &amp; State"</t>
        </is>
      </c>
      <c r="H60" s="17" t="n"/>
      <c r="I60" s="17" t="n"/>
      <c r="J60" s="17" t="n"/>
    </row>
    <row r="61">
      <c r="A61" s="14" t="n">
        <v>56</v>
      </c>
      <c r="B61" s="14" t="n">
        <v>8</v>
      </c>
      <c r="C61" s="14" t="inlineStr">
        <is>
          <t>Catch up / rest</t>
        </is>
      </c>
      <c r="D61" s="14" t="inlineStr">
        <is>
          <t>Terraform (infrastructure as code)</t>
        </is>
      </c>
      <c r="E61" s="14" t="inlineStr">
        <is>
          <t>Opens when Week 8 starts: see the Week 8 lesson. (Terraform (infrastructure as code))</t>
        </is>
      </c>
      <c r="F61" s="15" t="inlineStr">
        <is>
          <t>https://github.com/TechSckoolByVijay/75-day-career-upgrade/tree/main/week-08-terraform</t>
        </is>
      </c>
      <c r="G61" s="15" t="inlineStr">
        <is>
          <t>Terraform For GenAI DevOps Engineer: "Terraform Foundations &amp; Core Workflow; Variables, Dependencies &amp; State"</t>
        </is>
      </c>
      <c r="H61" s="17" t="n"/>
      <c r="I61" s="17" t="n"/>
      <c r="J61" s="17" t="n"/>
    </row>
    <row r="62">
      <c r="A62" s="16" t="n">
        <v>57</v>
      </c>
      <c r="B62" s="16" t="n">
        <v>9</v>
      </c>
      <c r="C62" s="16" t="inlineStr">
        <is>
          <t>Learn</t>
        </is>
      </c>
      <c r="D62" s="16" t="inlineStr">
        <is>
          <t>Checkpoint 2: end-to-end project</t>
        </is>
      </c>
      <c r="E62" s="16" t="inlineStr">
        <is>
          <t>Opens when Week 9 starts: see the Week 9 lesson. (Checkpoint 2: end-to-end project)</t>
        </is>
      </c>
      <c r="F62" s="15" t="inlineStr">
        <is>
          <t>https://github.com/TechSckoolByVijay/75-day-career-upgrade/tree/main/week-09-checkpoint-2</t>
        </is>
      </c>
      <c r="G62" s="15" t="inlineStr">
        <is>
          <t>Learning GitHub Actions for DevOps CI/CD: "Building, Pushing &amp; Deploying Docker Containers" · Terraform For GenAI DevOps Engineer: "Migrating tfstate to Remote Backend"</t>
        </is>
      </c>
      <c r="H62" s="17" t="n"/>
      <c r="I62" s="17" t="n"/>
      <c r="J62" s="17" t="n"/>
    </row>
    <row r="63">
      <c r="A63" s="16" t="n">
        <v>58</v>
      </c>
      <c r="B63" s="16" t="n">
        <v>9</v>
      </c>
      <c r="C63" s="16" t="inlineStr">
        <is>
          <t>Learn</t>
        </is>
      </c>
      <c r="D63" s="16" t="inlineStr">
        <is>
          <t>Checkpoint 2: end-to-end project</t>
        </is>
      </c>
      <c r="E63" s="16" t="inlineStr">
        <is>
          <t>Opens when Week 9 starts: see the Week 9 lesson. (Checkpoint 2: end-to-end project)</t>
        </is>
      </c>
      <c r="F63" s="15" t="inlineStr">
        <is>
          <t>https://github.com/TechSckoolByVijay/75-day-career-upgrade/tree/main/week-09-checkpoint-2</t>
        </is>
      </c>
      <c r="G63" s="15" t="inlineStr">
        <is>
          <t>Learning GitHub Actions for DevOps CI/CD: "Building, Pushing &amp; Deploying Docker Containers" · Terraform For GenAI DevOps Engineer: "Migrating tfstate to Remote Backend"</t>
        </is>
      </c>
      <c r="H63" s="17" t="n"/>
      <c r="I63" s="17" t="n"/>
      <c r="J63" s="17" t="n"/>
    </row>
    <row r="64">
      <c r="A64" s="16" t="n">
        <v>59</v>
      </c>
      <c r="B64" s="16" t="n">
        <v>9</v>
      </c>
      <c r="C64" s="16" t="inlineStr">
        <is>
          <t>Learn</t>
        </is>
      </c>
      <c r="D64" s="16" t="inlineStr">
        <is>
          <t>Checkpoint 2: end-to-end project</t>
        </is>
      </c>
      <c r="E64" s="16" t="inlineStr">
        <is>
          <t>Opens when Week 9 starts: see the Week 9 lesson. (Checkpoint 2: end-to-end project)</t>
        </is>
      </c>
      <c r="F64" s="15" t="inlineStr">
        <is>
          <t>https://github.com/TechSckoolByVijay/75-day-career-upgrade/tree/main/week-09-checkpoint-2</t>
        </is>
      </c>
      <c r="G64" s="15" t="inlineStr">
        <is>
          <t>Learning GitHub Actions for DevOps CI/CD: "Building, Pushing &amp; Deploying Docker Containers" · Terraform For GenAI DevOps Engineer: "Migrating tfstate to Remote Backend"</t>
        </is>
      </c>
      <c r="H64" s="17" t="n"/>
      <c r="I64" s="17" t="n"/>
      <c r="J64" s="17" t="n"/>
    </row>
    <row r="65">
      <c r="A65" s="16" t="n">
        <v>60</v>
      </c>
      <c r="B65" s="16" t="n">
        <v>9</v>
      </c>
      <c r="C65" s="16" t="inlineStr">
        <is>
          <t>Learn</t>
        </is>
      </c>
      <c r="D65" s="16" t="inlineStr">
        <is>
          <t>Checkpoint 2: end-to-end project</t>
        </is>
      </c>
      <c r="E65" s="16" t="inlineStr">
        <is>
          <t>Opens when Week 9 starts: see the Week 9 lesson. (Checkpoint 2: end-to-end project)</t>
        </is>
      </c>
      <c r="F65" s="15" t="inlineStr">
        <is>
          <t>https://github.com/TechSckoolByVijay/75-day-career-upgrade/tree/main/week-09-checkpoint-2</t>
        </is>
      </c>
      <c r="G65" s="15" t="inlineStr">
        <is>
          <t>Learning GitHub Actions for DevOps CI/CD: "Building, Pushing &amp; Deploying Docker Containers" · Terraform For GenAI DevOps Engineer: "Migrating tfstate to Remote Backend"</t>
        </is>
      </c>
      <c r="H65" s="17" t="n"/>
      <c r="I65" s="17" t="n"/>
      <c r="J65" s="17" t="n"/>
    </row>
    <row r="66">
      <c r="A66" s="16" t="n">
        <v>61</v>
      </c>
      <c r="B66" s="16" t="n">
        <v>9</v>
      </c>
      <c r="C66" s="16" t="inlineStr">
        <is>
          <t>Learn</t>
        </is>
      </c>
      <c r="D66" s="16" t="inlineStr">
        <is>
          <t>Checkpoint 2: end-to-end project</t>
        </is>
      </c>
      <c r="E66" s="16" t="inlineStr">
        <is>
          <t>Opens when Week 9 starts: see the Week 9 lesson. (Checkpoint 2: end-to-end project)</t>
        </is>
      </c>
      <c r="F66" s="15" t="inlineStr">
        <is>
          <t>https://github.com/TechSckoolByVijay/75-day-career-upgrade/tree/main/week-09-checkpoint-2</t>
        </is>
      </c>
      <c r="G66" s="15" t="inlineStr">
        <is>
          <t>Learning GitHub Actions for DevOps CI/CD: "Building, Pushing &amp; Deploying Docker Containers" · Terraform For GenAI DevOps Engineer: "Migrating tfstate to Remote Backend"</t>
        </is>
      </c>
      <c r="H66" s="17" t="n"/>
      <c r="I66" s="17" t="n"/>
      <c r="J66" s="17" t="n"/>
    </row>
    <row r="67">
      <c r="A67" s="14" t="n">
        <v>62</v>
      </c>
      <c r="B67" s="14" t="n">
        <v>9</v>
      </c>
      <c r="C67" s="14" t="inlineStr">
        <is>
          <t>Build (60 min)</t>
        </is>
      </c>
      <c r="D67" s="14" t="inlineStr">
        <is>
          <t>Checkpoint 2: end-to-end project</t>
        </is>
      </c>
      <c r="E67" s="14" t="inlineStr">
        <is>
          <t>Opens when Week 9 starts: see the Week 9 lesson. (Checkpoint 2: end-to-end project)</t>
        </is>
      </c>
      <c r="F67" s="15" t="inlineStr">
        <is>
          <t>https://github.com/TechSckoolByVijay/75-day-career-upgrade/tree/main/week-09-checkpoint-2</t>
        </is>
      </c>
      <c r="G67" s="15" t="inlineStr">
        <is>
          <t>Learning GitHub Actions for DevOps CI/CD: "Building, Pushing &amp; Deploying Docker Containers" · Terraform For GenAI DevOps Engineer: "Migrating tfstate to Remote Backend"</t>
        </is>
      </c>
      <c r="H67" s="17" t="n"/>
      <c r="I67" s="17" t="n"/>
      <c r="J67" s="17" t="n"/>
    </row>
    <row r="68">
      <c r="A68" s="14" t="n">
        <v>63</v>
      </c>
      <c r="B68" s="14" t="n">
        <v>9</v>
      </c>
      <c r="C68" s="14" t="inlineStr">
        <is>
          <t>Catch up / rest</t>
        </is>
      </c>
      <c r="D68" s="14" t="inlineStr">
        <is>
          <t>Checkpoint 2: end-to-end project</t>
        </is>
      </c>
      <c r="E68" s="14" t="inlineStr">
        <is>
          <t>Opens when Week 9 starts: see the Week 9 lesson. (Checkpoint 2: end-to-end project)</t>
        </is>
      </c>
      <c r="F68" s="15" t="inlineStr">
        <is>
          <t>https://github.com/TechSckoolByVijay/75-day-career-upgrade/tree/main/week-09-checkpoint-2</t>
        </is>
      </c>
      <c r="G68" s="15" t="inlineStr">
        <is>
          <t>Learning GitHub Actions for DevOps CI/CD: "Building, Pushing &amp; Deploying Docker Containers" · Terraform For GenAI DevOps Engineer: "Migrating tfstate to Remote Backend"</t>
        </is>
      </c>
      <c r="H68" s="17" t="n"/>
      <c r="I68" s="17" t="n"/>
      <c r="J68" s="17" t="n"/>
    </row>
    <row r="69">
      <c r="A69" s="16" t="n">
        <v>64</v>
      </c>
      <c r="B69" s="16" t="n">
        <v>10</v>
      </c>
      <c r="C69" s="16" t="inlineStr">
        <is>
          <t>Learn</t>
        </is>
      </c>
      <c r="D69" s="16" t="inlineStr">
        <is>
          <t>AI in DevOps and SRE</t>
        </is>
      </c>
      <c r="E69" s="16" t="inlineStr">
        <is>
          <t>Opens when Week 10 starts: see the Week 10 lesson. (AI in DevOps and SRE)</t>
        </is>
      </c>
      <c r="F69" s="15" t="inlineStr">
        <is>
          <t>https://github.com/TechSckoolByVijay/75-day-career-upgrade/tree/main/week-10-ai-devops-sre</t>
        </is>
      </c>
      <c r="G69" s="15" t="inlineStr">
        <is>
          <t>ChatGPT for DevOps: "the whole course" · k8s Production Readiness: "Building Secret-less GenAI Applications with Azure Workload Identity" · n8n Masterclass: Build a GenAI News Factory: "optional: AI agents and automation"</t>
        </is>
      </c>
      <c r="H69" s="17" t="n"/>
      <c r="I69" s="17" t="n"/>
      <c r="J69" s="17" t="n"/>
    </row>
    <row r="70">
      <c r="A70" s="16" t="n">
        <v>65</v>
      </c>
      <c r="B70" s="16" t="n">
        <v>10</v>
      </c>
      <c r="C70" s="16" t="inlineStr">
        <is>
          <t>Learn</t>
        </is>
      </c>
      <c r="D70" s="16" t="inlineStr">
        <is>
          <t>AI in DevOps and SRE</t>
        </is>
      </c>
      <c r="E70" s="16" t="inlineStr">
        <is>
          <t>Opens when Week 10 starts: see the Week 10 lesson. (AI in DevOps and SRE)</t>
        </is>
      </c>
      <c r="F70" s="15" t="inlineStr">
        <is>
          <t>https://github.com/TechSckoolByVijay/75-day-career-upgrade/tree/main/week-10-ai-devops-sre</t>
        </is>
      </c>
      <c r="G70" s="15" t="inlineStr">
        <is>
          <t>ChatGPT for DevOps: "the whole course" · k8s Production Readiness: "Building Secret-less GenAI Applications with Azure Workload Identity" · n8n Masterclass: Build a GenAI News Factory: "optional: AI agents and automation"</t>
        </is>
      </c>
      <c r="H70" s="17" t="n"/>
      <c r="I70" s="17" t="n"/>
      <c r="J70" s="17" t="n"/>
    </row>
    <row r="71">
      <c r="A71" s="16" t="n">
        <v>66</v>
      </c>
      <c r="B71" s="16" t="n">
        <v>10</v>
      </c>
      <c r="C71" s="16" t="inlineStr">
        <is>
          <t>Learn</t>
        </is>
      </c>
      <c r="D71" s="16" t="inlineStr">
        <is>
          <t>AI in DevOps and SRE</t>
        </is>
      </c>
      <c r="E71" s="16" t="inlineStr">
        <is>
          <t>Opens when Week 10 starts: see the Week 10 lesson. (AI in DevOps and SRE)</t>
        </is>
      </c>
      <c r="F71" s="15" t="inlineStr">
        <is>
          <t>https://github.com/TechSckoolByVijay/75-day-career-upgrade/tree/main/week-10-ai-devops-sre</t>
        </is>
      </c>
      <c r="G71" s="15" t="inlineStr">
        <is>
          <t>ChatGPT for DevOps: "the whole course" · k8s Production Readiness: "Building Secret-less GenAI Applications with Azure Workload Identity" · n8n Masterclass: Build a GenAI News Factory: "optional: AI agents and automation"</t>
        </is>
      </c>
      <c r="H71" s="17" t="n"/>
      <c r="I71" s="17" t="n"/>
      <c r="J71" s="17" t="n"/>
    </row>
    <row r="72">
      <c r="A72" s="16" t="n">
        <v>67</v>
      </c>
      <c r="B72" s="16" t="n">
        <v>10</v>
      </c>
      <c r="C72" s="16" t="inlineStr">
        <is>
          <t>Learn</t>
        </is>
      </c>
      <c r="D72" s="16" t="inlineStr">
        <is>
          <t>AI in DevOps and SRE</t>
        </is>
      </c>
      <c r="E72" s="16" t="inlineStr">
        <is>
          <t>Opens when Week 10 starts: see the Week 10 lesson. (AI in DevOps and SRE)</t>
        </is>
      </c>
      <c r="F72" s="15" t="inlineStr">
        <is>
          <t>https://github.com/TechSckoolByVijay/75-day-career-upgrade/tree/main/week-10-ai-devops-sre</t>
        </is>
      </c>
      <c r="G72" s="15" t="inlineStr">
        <is>
          <t>ChatGPT for DevOps: "the whole course" · k8s Production Readiness: "Building Secret-less GenAI Applications with Azure Workload Identity" · n8n Masterclass: Build a GenAI News Factory: "optional: AI agents and automation"</t>
        </is>
      </c>
      <c r="H72" s="17" t="n"/>
      <c r="I72" s="17" t="n"/>
      <c r="J72" s="17" t="n"/>
    </row>
    <row r="73">
      <c r="A73" s="16" t="n">
        <v>68</v>
      </c>
      <c r="B73" s="16" t="n">
        <v>10</v>
      </c>
      <c r="C73" s="16" t="inlineStr">
        <is>
          <t>Learn</t>
        </is>
      </c>
      <c r="D73" s="16" t="inlineStr">
        <is>
          <t>AI in DevOps and SRE</t>
        </is>
      </c>
      <c r="E73" s="16" t="inlineStr">
        <is>
          <t>Opens when Week 10 starts: see the Week 10 lesson. (AI in DevOps and SRE)</t>
        </is>
      </c>
      <c r="F73" s="15" t="inlineStr">
        <is>
          <t>https://github.com/TechSckoolByVijay/75-day-career-upgrade/tree/main/week-10-ai-devops-sre</t>
        </is>
      </c>
      <c r="G73" s="15" t="inlineStr">
        <is>
          <t>ChatGPT for DevOps: "the whole course" · k8s Production Readiness: "Building Secret-less GenAI Applications with Azure Workload Identity" · n8n Masterclass: Build a GenAI News Factory: "optional: AI agents and automation"</t>
        </is>
      </c>
      <c r="H73" s="17" t="n"/>
      <c r="I73" s="17" t="n"/>
      <c r="J73" s="17" t="n"/>
    </row>
    <row r="74">
      <c r="A74" s="14" t="n">
        <v>69</v>
      </c>
      <c r="B74" s="14" t="n">
        <v>10</v>
      </c>
      <c r="C74" s="14" t="inlineStr">
        <is>
          <t>Build (60 min)</t>
        </is>
      </c>
      <c r="D74" s="14" t="inlineStr">
        <is>
          <t>AI in DevOps and SRE</t>
        </is>
      </c>
      <c r="E74" s="14" t="inlineStr">
        <is>
          <t>Opens when Week 10 starts: see the Week 10 lesson. (AI in DevOps and SRE)</t>
        </is>
      </c>
      <c r="F74" s="15" t="inlineStr">
        <is>
          <t>https://github.com/TechSckoolByVijay/75-day-career-upgrade/tree/main/week-10-ai-devops-sre</t>
        </is>
      </c>
      <c r="G74" s="15" t="inlineStr">
        <is>
          <t>ChatGPT for DevOps: "the whole course" · k8s Production Readiness: "Building Secret-less GenAI Applications with Azure Workload Identity" · n8n Masterclass: Build a GenAI News Factory: "optional: AI agents and automation"</t>
        </is>
      </c>
      <c r="H74" s="17" t="n"/>
      <c r="I74" s="17" t="n"/>
      <c r="J74" s="17" t="n"/>
    </row>
    <row r="75">
      <c r="A75" s="14" t="n">
        <v>70</v>
      </c>
      <c r="B75" s="14" t="n">
        <v>10</v>
      </c>
      <c r="C75" s="14" t="inlineStr">
        <is>
          <t>Catch up / rest</t>
        </is>
      </c>
      <c r="D75" s="14" t="inlineStr">
        <is>
          <t>AI in DevOps and SRE</t>
        </is>
      </c>
      <c r="E75" s="14" t="inlineStr">
        <is>
          <t>Opens when Week 10 starts: see the Week 10 lesson. (AI in DevOps and SRE)</t>
        </is>
      </c>
      <c r="F75" s="15" t="inlineStr">
        <is>
          <t>https://github.com/TechSckoolByVijay/75-day-career-upgrade/tree/main/week-10-ai-devops-sre</t>
        </is>
      </c>
      <c r="G75" s="15" t="inlineStr">
        <is>
          <t>ChatGPT for DevOps: "the whole course" · k8s Production Readiness: "Building Secret-less GenAI Applications with Azure Workload Identity" · n8n Masterclass: Build a GenAI News Factory: "optional: AI agents and automation"</t>
        </is>
      </c>
      <c r="H75" s="17" t="n"/>
      <c r="I75" s="17" t="n"/>
      <c r="J75" s="17" t="n"/>
    </row>
    <row r="76">
      <c r="A76" s="16" t="n">
        <v>71</v>
      </c>
      <c r="B76" s="16" t="n">
        <v>11</v>
      </c>
      <c r="C76" s="16" t="inlineStr">
        <is>
          <t>Learn</t>
        </is>
      </c>
      <c r="D76" s="16" t="inlineStr">
        <is>
          <t>Capstone + pick your path</t>
        </is>
      </c>
      <c r="E76" s="16" t="inlineStr">
        <is>
          <t>Opens when Week 11 starts: see the Week 11 lesson. (Capstone + pick your path)</t>
        </is>
      </c>
      <c r="F76" s="15" t="inlineStr">
        <is>
          <t>https://github.com/TechSckoolByVijay/75-day-career-upgrade/tree/main/week-11-capstone</t>
        </is>
      </c>
      <c r="G76" s="15" t="inlineStr">
        <is>
          <t>Everything above, at the challenge price: the AI-Enabled DevOps &amp; SRE bundle</t>
        </is>
      </c>
      <c r="H76" s="17" t="n"/>
      <c r="I76" s="17" t="n"/>
      <c r="J76" s="17" t="n"/>
    </row>
    <row r="77">
      <c r="A77" s="16" t="n">
        <v>72</v>
      </c>
      <c r="B77" s="16" t="n">
        <v>11</v>
      </c>
      <c r="C77" s="16" t="inlineStr">
        <is>
          <t>Learn</t>
        </is>
      </c>
      <c r="D77" s="16" t="inlineStr">
        <is>
          <t>Capstone + pick your path</t>
        </is>
      </c>
      <c r="E77" s="16" t="inlineStr">
        <is>
          <t>Opens when Week 11 starts: see the Week 11 lesson. (Capstone + pick your path)</t>
        </is>
      </c>
      <c r="F77" s="15" t="inlineStr">
        <is>
          <t>https://github.com/TechSckoolByVijay/75-day-career-upgrade/tree/main/week-11-capstone</t>
        </is>
      </c>
      <c r="G77" s="15" t="inlineStr">
        <is>
          <t>Everything above, at the challenge price: the AI-Enabled DevOps &amp; SRE bundle</t>
        </is>
      </c>
      <c r="H77" s="17" t="n"/>
      <c r="I77" s="17" t="n"/>
      <c r="J77" s="17" t="n"/>
    </row>
    <row r="78">
      <c r="A78" s="16" t="n">
        <v>73</v>
      </c>
      <c r="B78" s="16" t="n">
        <v>11</v>
      </c>
      <c r="C78" s="16" t="inlineStr">
        <is>
          <t>Learn</t>
        </is>
      </c>
      <c r="D78" s="16" t="inlineStr">
        <is>
          <t>Capstone + pick your path</t>
        </is>
      </c>
      <c r="E78" s="16" t="inlineStr">
        <is>
          <t>Opens when Week 11 starts: see the Week 11 lesson. (Capstone + pick your path)</t>
        </is>
      </c>
      <c r="F78" s="15" t="inlineStr">
        <is>
          <t>https://github.com/TechSckoolByVijay/75-day-career-upgrade/tree/main/week-11-capstone</t>
        </is>
      </c>
      <c r="G78" s="15" t="inlineStr">
        <is>
          <t>Everything above, at the challenge price: the AI-Enabled DevOps &amp; SRE bundle</t>
        </is>
      </c>
      <c r="H78" s="17" t="n"/>
      <c r="I78" s="17" t="n"/>
      <c r="J78" s="17" t="n"/>
    </row>
    <row r="79">
      <c r="A79" s="16" t="n">
        <v>74</v>
      </c>
      <c r="B79" s="16" t="n">
        <v>11</v>
      </c>
      <c r="C79" s="16" t="inlineStr">
        <is>
          <t>Learn</t>
        </is>
      </c>
      <c r="D79" s="16" t="inlineStr">
        <is>
          <t>Capstone + pick your path</t>
        </is>
      </c>
      <c r="E79" s="16" t="inlineStr">
        <is>
          <t>Opens when Week 11 starts: see the Week 11 lesson. (Capstone + pick your path)</t>
        </is>
      </c>
      <c r="F79" s="15" t="inlineStr">
        <is>
          <t>https://github.com/TechSckoolByVijay/75-day-career-upgrade/tree/main/week-11-capstone</t>
        </is>
      </c>
      <c r="G79" s="15" t="inlineStr">
        <is>
          <t>Everything above, at the challenge price: the AI-Enabled DevOps &amp; SRE bundle</t>
        </is>
      </c>
      <c r="H79" s="17" t="n"/>
      <c r="I79" s="17" t="n"/>
      <c r="J79" s="17" t="n"/>
    </row>
    <row r="80">
      <c r="A80" s="14" t="n">
        <v>75</v>
      </c>
      <c r="B80" s="14" t="n">
        <v>11</v>
      </c>
      <c r="C80" s="14" t="inlineStr">
        <is>
          <t>Wrap-up</t>
        </is>
      </c>
      <c r="D80" s="14" t="inlineStr">
        <is>
          <t>Capstone + pick your path</t>
        </is>
      </c>
      <c r="E80" s="14" t="inlineStr">
        <is>
          <t>Opens when Week 11 starts: see the Week 11 lesson. (Capstone + pick your path)</t>
        </is>
      </c>
      <c r="F80" s="15" t="inlineStr">
        <is>
          <t>https://github.com/TechSckoolByVijay/75-day-career-upgrade/tree/main/week-11-capstone</t>
        </is>
      </c>
      <c r="G80" s="15" t="inlineStr">
        <is>
          <t>Everything above, at the challenge price: the AI-Enabled DevOps &amp; SRE bundle</t>
        </is>
      </c>
      <c r="H80" s="17" t="n"/>
      <c r="I80" s="17" t="n"/>
      <c r="J80" s="17" t="n"/>
    </row>
  </sheetData>
  <autoFilter ref="A1:J80"/>
  <conditionalFormatting sqref="H2:H80">
    <cfRule type="expression" priority="1" dxfId="0">
      <formula>$H2="Yes"</formula>
    </cfRule>
    <cfRule type="expression" priority="2" dxfId="1">
      <formula>$H2="No"</formula>
    </cfRule>
    <cfRule type="expression" priority="3" dxfId="2">
      <formula>$H2="Partly"</formula>
    </cfRule>
    <cfRule type="expression" priority="4" dxfId="3">
      <formula>$H2="Skipped"</formula>
    </cfRule>
  </conditionalFormatting>
  <dataValidations count="1">
    <dataValidation sqref="H2:H80" showDropDown="0" showInputMessage="0" showErrorMessage="0" allowBlank="1" type="list">
      <formula1>"Yes,Partly,No,Skipped"</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6" r:id="rId3"/>
    <hyperlink xmlns:r="http://schemas.openxmlformats.org/officeDocument/2006/relationships" ref="F7" r:id="rId4"/>
    <hyperlink xmlns:r="http://schemas.openxmlformats.org/officeDocument/2006/relationships" ref="F8" r:id="rId5"/>
    <hyperlink xmlns:r="http://schemas.openxmlformats.org/officeDocument/2006/relationships" ref="F9" r:id="rId6"/>
    <hyperlink xmlns:r="http://schemas.openxmlformats.org/officeDocument/2006/relationships" ref="F10" r:id="rId7"/>
    <hyperlink xmlns:r="http://schemas.openxmlformats.org/officeDocument/2006/relationships" ref="G10" r:id="rId8"/>
    <hyperlink xmlns:r="http://schemas.openxmlformats.org/officeDocument/2006/relationships" ref="G11" r:id="rId9"/>
    <hyperlink xmlns:r="http://schemas.openxmlformats.org/officeDocument/2006/relationships" ref="F13" r:id="rId10"/>
    <hyperlink xmlns:r="http://schemas.openxmlformats.org/officeDocument/2006/relationships" ref="F14" r:id="rId11"/>
    <hyperlink xmlns:r="http://schemas.openxmlformats.org/officeDocument/2006/relationships" ref="F15" r:id="rId12"/>
    <hyperlink xmlns:r="http://schemas.openxmlformats.org/officeDocument/2006/relationships" ref="G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G18" r:id="rId17"/>
    <hyperlink xmlns:r="http://schemas.openxmlformats.org/officeDocument/2006/relationships" ref="F20" r:id="rId18"/>
    <hyperlink xmlns:r="http://schemas.openxmlformats.org/officeDocument/2006/relationships" ref="G20" r:id="rId19"/>
    <hyperlink xmlns:r="http://schemas.openxmlformats.org/officeDocument/2006/relationships" ref="F21" r:id="rId20"/>
    <hyperlink xmlns:r="http://schemas.openxmlformats.org/officeDocument/2006/relationships" ref="G21" r:id="rId21"/>
    <hyperlink xmlns:r="http://schemas.openxmlformats.org/officeDocument/2006/relationships" ref="F22" r:id="rId22"/>
    <hyperlink xmlns:r="http://schemas.openxmlformats.org/officeDocument/2006/relationships" ref="G22" r:id="rId23"/>
    <hyperlink xmlns:r="http://schemas.openxmlformats.org/officeDocument/2006/relationships" ref="F23" r:id="rId24"/>
    <hyperlink xmlns:r="http://schemas.openxmlformats.org/officeDocument/2006/relationships" ref="G23" r:id="rId25"/>
    <hyperlink xmlns:r="http://schemas.openxmlformats.org/officeDocument/2006/relationships" ref="F24" r:id="rId26"/>
    <hyperlink xmlns:r="http://schemas.openxmlformats.org/officeDocument/2006/relationships" ref="G24" r:id="rId27"/>
    <hyperlink xmlns:r="http://schemas.openxmlformats.org/officeDocument/2006/relationships" ref="F25" r:id="rId28"/>
    <hyperlink xmlns:r="http://schemas.openxmlformats.org/officeDocument/2006/relationships" ref="G25" r:id="rId29"/>
    <hyperlink xmlns:r="http://schemas.openxmlformats.org/officeDocument/2006/relationships" ref="F27" r:id="rId30"/>
    <hyperlink xmlns:r="http://schemas.openxmlformats.org/officeDocument/2006/relationships" ref="G27" r:id="rId31"/>
    <hyperlink xmlns:r="http://schemas.openxmlformats.org/officeDocument/2006/relationships" ref="F28" r:id="rId32"/>
    <hyperlink xmlns:r="http://schemas.openxmlformats.org/officeDocument/2006/relationships" ref="G28" r:id="rId33"/>
    <hyperlink xmlns:r="http://schemas.openxmlformats.org/officeDocument/2006/relationships" ref="F29" r:id="rId34"/>
    <hyperlink xmlns:r="http://schemas.openxmlformats.org/officeDocument/2006/relationships" ref="G29" r:id="rId35"/>
    <hyperlink xmlns:r="http://schemas.openxmlformats.org/officeDocument/2006/relationships" ref="F30" r:id="rId36"/>
    <hyperlink xmlns:r="http://schemas.openxmlformats.org/officeDocument/2006/relationships" ref="G30" r:id="rId37"/>
    <hyperlink xmlns:r="http://schemas.openxmlformats.org/officeDocument/2006/relationships" ref="F31" r:id="rId38"/>
    <hyperlink xmlns:r="http://schemas.openxmlformats.org/officeDocument/2006/relationships" ref="G31" r:id="rId39"/>
    <hyperlink xmlns:r="http://schemas.openxmlformats.org/officeDocument/2006/relationships" ref="F32" r:id="rId40"/>
    <hyperlink xmlns:r="http://schemas.openxmlformats.org/officeDocument/2006/relationships" ref="G32" r:id="rId41"/>
    <hyperlink xmlns:r="http://schemas.openxmlformats.org/officeDocument/2006/relationships" ref="F33" r:id="rId42"/>
    <hyperlink xmlns:r="http://schemas.openxmlformats.org/officeDocument/2006/relationships" ref="G33" r:id="rId43"/>
    <hyperlink xmlns:r="http://schemas.openxmlformats.org/officeDocument/2006/relationships" ref="F34" r:id="rId44"/>
    <hyperlink xmlns:r="http://schemas.openxmlformats.org/officeDocument/2006/relationships" ref="G34" r:id="rId45"/>
    <hyperlink xmlns:r="http://schemas.openxmlformats.org/officeDocument/2006/relationships" ref="F35" r:id="rId46"/>
    <hyperlink xmlns:r="http://schemas.openxmlformats.org/officeDocument/2006/relationships" ref="G35" r:id="rId47"/>
    <hyperlink xmlns:r="http://schemas.openxmlformats.org/officeDocument/2006/relationships" ref="F36" r:id="rId48"/>
    <hyperlink xmlns:r="http://schemas.openxmlformats.org/officeDocument/2006/relationships" ref="G36" r:id="rId49"/>
    <hyperlink xmlns:r="http://schemas.openxmlformats.org/officeDocument/2006/relationships" ref="F37" r:id="rId50"/>
    <hyperlink xmlns:r="http://schemas.openxmlformats.org/officeDocument/2006/relationships" ref="G37" r:id="rId51"/>
    <hyperlink xmlns:r="http://schemas.openxmlformats.org/officeDocument/2006/relationships" ref="F38" r:id="rId52"/>
    <hyperlink xmlns:r="http://schemas.openxmlformats.org/officeDocument/2006/relationships" ref="G38" r:id="rId53"/>
    <hyperlink xmlns:r="http://schemas.openxmlformats.org/officeDocument/2006/relationships" ref="F39" r:id="rId54"/>
    <hyperlink xmlns:r="http://schemas.openxmlformats.org/officeDocument/2006/relationships" ref="G39" r:id="rId55"/>
    <hyperlink xmlns:r="http://schemas.openxmlformats.org/officeDocument/2006/relationships" ref="F40" r:id="rId56"/>
    <hyperlink xmlns:r="http://schemas.openxmlformats.org/officeDocument/2006/relationships" ref="G40" r:id="rId57"/>
    <hyperlink xmlns:r="http://schemas.openxmlformats.org/officeDocument/2006/relationships" ref="F41" r:id="rId58"/>
    <hyperlink xmlns:r="http://schemas.openxmlformats.org/officeDocument/2006/relationships" ref="G41" r:id="rId59"/>
    <hyperlink xmlns:r="http://schemas.openxmlformats.org/officeDocument/2006/relationships" ref="F42" r:id="rId60"/>
    <hyperlink xmlns:r="http://schemas.openxmlformats.org/officeDocument/2006/relationships" ref="G42" r:id="rId61"/>
    <hyperlink xmlns:r="http://schemas.openxmlformats.org/officeDocument/2006/relationships" ref="F43" r:id="rId62"/>
    <hyperlink xmlns:r="http://schemas.openxmlformats.org/officeDocument/2006/relationships" ref="G43" r:id="rId63"/>
    <hyperlink xmlns:r="http://schemas.openxmlformats.org/officeDocument/2006/relationships" ref="F44" r:id="rId64"/>
    <hyperlink xmlns:r="http://schemas.openxmlformats.org/officeDocument/2006/relationships" ref="G44" r:id="rId65"/>
    <hyperlink xmlns:r="http://schemas.openxmlformats.org/officeDocument/2006/relationships" ref="F45" r:id="rId66"/>
    <hyperlink xmlns:r="http://schemas.openxmlformats.org/officeDocument/2006/relationships" ref="G45" r:id="rId67"/>
    <hyperlink xmlns:r="http://schemas.openxmlformats.org/officeDocument/2006/relationships" ref="F46" r:id="rId68"/>
    <hyperlink xmlns:r="http://schemas.openxmlformats.org/officeDocument/2006/relationships" ref="G46" r:id="rId69"/>
    <hyperlink xmlns:r="http://schemas.openxmlformats.org/officeDocument/2006/relationships" ref="F47" r:id="rId70"/>
    <hyperlink xmlns:r="http://schemas.openxmlformats.org/officeDocument/2006/relationships" ref="G47" r:id="rId71"/>
    <hyperlink xmlns:r="http://schemas.openxmlformats.org/officeDocument/2006/relationships" ref="F48" r:id="rId72"/>
    <hyperlink xmlns:r="http://schemas.openxmlformats.org/officeDocument/2006/relationships" ref="G48" r:id="rId73"/>
    <hyperlink xmlns:r="http://schemas.openxmlformats.org/officeDocument/2006/relationships" ref="F49" r:id="rId74"/>
    <hyperlink xmlns:r="http://schemas.openxmlformats.org/officeDocument/2006/relationships" ref="G49" r:id="rId75"/>
    <hyperlink xmlns:r="http://schemas.openxmlformats.org/officeDocument/2006/relationships" ref="F50" r:id="rId76"/>
    <hyperlink xmlns:r="http://schemas.openxmlformats.org/officeDocument/2006/relationships" ref="G50" r:id="rId77"/>
    <hyperlink xmlns:r="http://schemas.openxmlformats.org/officeDocument/2006/relationships" ref="F51" r:id="rId78"/>
    <hyperlink xmlns:r="http://schemas.openxmlformats.org/officeDocument/2006/relationships" ref="G51" r:id="rId79"/>
    <hyperlink xmlns:r="http://schemas.openxmlformats.org/officeDocument/2006/relationships" ref="F52" r:id="rId80"/>
    <hyperlink xmlns:r="http://schemas.openxmlformats.org/officeDocument/2006/relationships" ref="G52" r:id="rId81"/>
    <hyperlink xmlns:r="http://schemas.openxmlformats.org/officeDocument/2006/relationships" ref="F53" r:id="rId82"/>
    <hyperlink xmlns:r="http://schemas.openxmlformats.org/officeDocument/2006/relationships" ref="G53" r:id="rId83"/>
    <hyperlink xmlns:r="http://schemas.openxmlformats.org/officeDocument/2006/relationships" ref="F54" r:id="rId84"/>
    <hyperlink xmlns:r="http://schemas.openxmlformats.org/officeDocument/2006/relationships" ref="G54" r:id="rId85"/>
    <hyperlink xmlns:r="http://schemas.openxmlformats.org/officeDocument/2006/relationships" ref="F55" r:id="rId86"/>
    <hyperlink xmlns:r="http://schemas.openxmlformats.org/officeDocument/2006/relationships" ref="G55" r:id="rId87"/>
    <hyperlink xmlns:r="http://schemas.openxmlformats.org/officeDocument/2006/relationships" ref="F56" r:id="rId88"/>
    <hyperlink xmlns:r="http://schemas.openxmlformats.org/officeDocument/2006/relationships" ref="G56" r:id="rId89"/>
    <hyperlink xmlns:r="http://schemas.openxmlformats.org/officeDocument/2006/relationships" ref="F57" r:id="rId90"/>
    <hyperlink xmlns:r="http://schemas.openxmlformats.org/officeDocument/2006/relationships" ref="G57" r:id="rId91"/>
    <hyperlink xmlns:r="http://schemas.openxmlformats.org/officeDocument/2006/relationships" ref="F58" r:id="rId92"/>
    <hyperlink xmlns:r="http://schemas.openxmlformats.org/officeDocument/2006/relationships" ref="G58" r:id="rId93"/>
    <hyperlink xmlns:r="http://schemas.openxmlformats.org/officeDocument/2006/relationships" ref="F59" r:id="rId94"/>
    <hyperlink xmlns:r="http://schemas.openxmlformats.org/officeDocument/2006/relationships" ref="G59" r:id="rId95"/>
    <hyperlink xmlns:r="http://schemas.openxmlformats.org/officeDocument/2006/relationships" ref="F60" r:id="rId96"/>
    <hyperlink xmlns:r="http://schemas.openxmlformats.org/officeDocument/2006/relationships" ref="G60" r:id="rId97"/>
    <hyperlink xmlns:r="http://schemas.openxmlformats.org/officeDocument/2006/relationships" ref="F61" r:id="rId98"/>
    <hyperlink xmlns:r="http://schemas.openxmlformats.org/officeDocument/2006/relationships" ref="G61" r:id="rId99"/>
    <hyperlink xmlns:r="http://schemas.openxmlformats.org/officeDocument/2006/relationships" ref="F62" r:id="rId100"/>
    <hyperlink xmlns:r="http://schemas.openxmlformats.org/officeDocument/2006/relationships" ref="G62" r:id="rId101"/>
    <hyperlink xmlns:r="http://schemas.openxmlformats.org/officeDocument/2006/relationships" ref="F63" r:id="rId102"/>
    <hyperlink xmlns:r="http://schemas.openxmlformats.org/officeDocument/2006/relationships" ref="G63" r:id="rId103"/>
    <hyperlink xmlns:r="http://schemas.openxmlformats.org/officeDocument/2006/relationships" ref="F64" r:id="rId104"/>
    <hyperlink xmlns:r="http://schemas.openxmlformats.org/officeDocument/2006/relationships" ref="G64" r:id="rId105"/>
    <hyperlink xmlns:r="http://schemas.openxmlformats.org/officeDocument/2006/relationships" ref="F65" r:id="rId106"/>
    <hyperlink xmlns:r="http://schemas.openxmlformats.org/officeDocument/2006/relationships" ref="G65" r:id="rId107"/>
    <hyperlink xmlns:r="http://schemas.openxmlformats.org/officeDocument/2006/relationships" ref="F66" r:id="rId108"/>
    <hyperlink xmlns:r="http://schemas.openxmlformats.org/officeDocument/2006/relationships" ref="G66" r:id="rId109"/>
    <hyperlink xmlns:r="http://schemas.openxmlformats.org/officeDocument/2006/relationships" ref="F67" r:id="rId110"/>
    <hyperlink xmlns:r="http://schemas.openxmlformats.org/officeDocument/2006/relationships" ref="G67" r:id="rId111"/>
    <hyperlink xmlns:r="http://schemas.openxmlformats.org/officeDocument/2006/relationships" ref="F68" r:id="rId112"/>
    <hyperlink xmlns:r="http://schemas.openxmlformats.org/officeDocument/2006/relationships" ref="G68" r:id="rId113"/>
    <hyperlink xmlns:r="http://schemas.openxmlformats.org/officeDocument/2006/relationships" ref="F69" r:id="rId114"/>
    <hyperlink xmlns:r="http://schemas.openxmlformats.org/officeDocument/2006/relationships" ref="G69" r:id="rId115"/>
    <hyperlink xmlns:r="http://schemas.openxmlformats.org/officeDocument/2006/relationships" ref="F70" r:id="rId116"/>
    <hyperlink xmlns:r="http://schemas.openxmlformats.org/officeDocument/2006/relationships" ref="G70" r:id="rId117"/>
    <hyperlink xmlns:r="http://schemas.openxmlformats.org/officeDocument/2006/relationships" ref="F71" r:id="rId118"/>
    <hyperlink xmlns:r="http://schemas.openxmlformats.org/officeDocument/2006/relationships" ref="G71" r:id="rId119"/>
    <hyperlink xmlns:r="http://schemas.openxmlformats.org/officeDocument/2006/relationships" ref="F72" r:id="rId120"/>
    <hyperlink xmlns:r="http://schemas.openxmlformats.org/officeDocument/2006/relationships" ref="G72" r:id="rId121"/>
    <hyperlink xmlns:r="http://schemas.openxmlformats.org/officeDocument/2006/relationships" ref="F73" r:id="rId122"/>
    <hyperlink xmlns:r="http://schemas.openxmlformats.org/officeDocument/2006/relationships" ref="G73" r:id="rId123"/>
    <hyperlink xmlns:r="http://schemas.openxmlformats.org/officeDocument/2006/relationships" ref="F74" r:id="rId124"/>
    <hyperlink xmlns:r="http://schemas.openxmlformats.org/officeDocument/2006/relationships" ref="G74" r:id="rId125"/>
    <hyperlink xmlns:r="http://schemas.openxmlformats.org/officeDocument/2006/relationships" ref="F75" r:id="rId126"/>
    <hyperlink xmlns:r="http://schemas.openxmlformats.org/officeDocument/2006/relationships" ref="G75" r:id="rId127"/>
    <hyperlink xmlns:r="http://schemas.openxmlformats.org/officeDocument/2006/relationships" ref="F76" r:id="rId128"/>
    <hyperlink xmlns:r="http://schemas.openxmlformats.org/officeDocument/2006/relationships" ref="G76" r:id="rId129"/>
    <hyperlink xmlns:r="http://schemas.openxmlformats.org/officeDocument/2006/relationships" ref="F77" r:id="rId130"/>
    <hyperlink xmlns:r="http://schemas.openxmlformats.org/officeDocument/2006/relationships" ref="G77" r:id="rId131"/>
    <hyperlink xmlns:r="http://schemas.openxmlformats.org/officeDocument/2006/relationships" ref="F78" r:id="rId132"/>
    <hyperlink xmlns:r="http://schemas.openxmlformats.org/officeDocument/2006/relationships" ref="G78" r:id="rId133"/>
    <hyperlink xmlns:r="http://schemas.openxmlformats.org/officeDocument/2006/relationships" ref="F79" r:id="rId134"/>
    <hyperlink xmlns:r="http://schemas.openxmlformats.org/officeDocument/2006/relationships" ref="G79" r:id="rId135"/>
    <hyperlink xmlns:r="http://schemas.openxmlformats.org/officeDocument/2006/relationships" ref="F80" r:id="rId136"/>
    <hyperlink xmlns:r="http://schemas.openxmlformats.org/officeDocument/2006/relationships" ref="G80" r:id="rId13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26" customWidth="1" min="3" max="3"/>
    <col width="44" customWidth="1" min="4" max="4"/>
    <col width="34" customWidth="1" min="5" max="5"/>
    <col width="44" customWidth="1" min="6" max="6"/>
    <col width="40" customWidth="1" min="7" max="7"/>
    <col width="10" customWidth="1" min="8" max="8"/>
    <col width="45" customWidth="1" min="9" max="9"/>
  </cols>
  <sheetData>
    <row r="1" ht="30" customHeight="1">
      <c r="A1" s="13" t="inlineStr">
        <is>
          <t>Week</t>
        </is>
      </c>
      <c r="B1" s="13" t="inlineStr">
        <is>
          <t>Days</t>
        </is>
      </c>
      <c r="C1" s="13" t="inlineStr">
        <is>
          <t>Explore</t>
        </is>
      </c>
      <c r="D1" s="13" t="inlineStr">
        <is>
          <t>Why it matters</t>
        </is>
      </c>
      <c r="E1" s="13" t="inlineStr">
        <is>
          <t>Who can skip</t>
        </is>
      </c>
      <c r="F1" s="13" t="inlineStr">
        <is>
          <t>Weekly goal</t>
        </is>
      </c>
      <c r="G1" s="13" t="inlineStr">
        <is>
          <t>Go deeper (bundle course)</t>
        </is>
      </c>
      <c r="H1" s="13" t="inlineStr">
        <is>
          <t>Goal met?</t>
        </is>
      </c>
      <c r="I1" s="13" t="inlineStr">
        <is>
          <t>My weekly reflection</t>
        </is>
      </c>
    </row>
    <row r="2" ht="75" customHeight="1">
      <c r="A2" s="16" t="n">
        <v>0</v>
      </c>
      <c r="B2" s="16" t="inlineStr">
        <is>
          <t>Before Day 1</t>
        </is>
      </c>
      <c r="C2" s="16" t="inlineStr">
        <is>
          <t>Setup + where am I today?</t>
        </is>
      </c>
      <c r="D2" s="16" t="inlineStr">
        <is>
          <t>A working laptop setup removes the #1 reason people quit in week 1.</t>
        </is>
      </c>
      <c r="E2" s="16" t="inlineStr">
        <is>
          <t>Nobody. It's short.</t>
        </is>
      </c>
      <c r="F2" s="16" t="inlineStr">
        <is>
          <t>Tools installed, a test cluster ran once, baseline self-check done, one-sentence goal written.</t>
        </is>
      </c>
      <c r="G2" s="16" t="inlineStr"/>
      <c r="H2" s="17" t="n"/>
      <c r="I2" s="17" t="n"/>
    </row>
    <row r="3" ht="75" customHeight="1">
      <c r="A3" s="16" t="n">
        <v>1</v>
      </c>
      <c r="B3" s="16" t="inlineStr">
        <is>
          <t>1–7</t>
        </is>
      </c>
      <c r="C3" s="16" t="inlineStr">
        <is>
          <t>Foundations: Linux, Git, AI as your study partner</t>
        </is>
      </c>
      <c r="D3" s="16" t="inlineStr">
        <is>
          <t>Every cloud and DevOps tool assumes you're comfortable in a terminal and with Git. Using AI well makes you learn about 2x faster.</t>
        </is>
      </c>
      <c r="E3" s="16" t="inlineStr">
        <is>
          <t>Already comfortable with Linux and Git? Do only Day 5 (AI) and the build day.</t>
        </is>
      </c>
      <c r="F3" s="16" t="inlineStr">
        <is>
          <t>Navigate and edit files in a terminal, push a commit to GitHub, and use AI to explain an error safely.</t>
        </is>
      </c>
      <c r="G3" s="16" t="inlineStr">
        <is>
          <t>ChatGPT for DevOps: https://www.readyforprod.cloud/courses/chatgpt-for-devops</t>
        </is>
      </c>
      <c r="H3" s="17" t="n"/>
      <c r="I3" s="17" t="n"/>
    </row>
    <row r="4" ht="75" customHeight="1">
      <c r="A4" s="16" t="n">
        <v>2</v>
      </c>
      <c r="B4" s="16" t="inlineStr">
        <is>
          <t>8–14</t>
        </is>
      </c>
      <c r="C4" s="16" t="inlineStr">
        <is>
          <t>Docker</t>
        </is>
      </c>
      <c r="D4" s="16" t="inlineStr">
        <is>
          <t>Containers are how modern applications are packaged and shipped, everywhere from startups to banks.</t>
        </is>
      </c>
      <c r="E4" s="16" t="inlineStr">
        <is>
          <t>You already build and run containers at work.</t>
        </is>
      </c>
      <c r="F4" s="16" t="inlineStr">
        <is>
          <t>Write a Dockerfile, build an image, run it with ports and env vars, and run 2 containers together with Compose.</t>
        </is>
      </c>
      <c r="G4" s="16" t="inlineStr">
        <is>
          <t>ChatGPT for DevOps (lecture: Use ChatGPT for Generating Dockerfile): https://www.readyforprod.cloud/courses/chatgpt-for-devops</t>
        </is>
      </c>
      <c r="H4" s="17" t="n"/>
      <c r="I4" s="17" t="n"/>
    </row>
    <row r="5" ht="75" customHeight="1">
      <c r="A5" s="16" t="n">
        <v>3</v>
      </c>
      <c r="B5" s="16" t="inlineStr">
        <is>
          <t>15–21</t>
        </is>
      </c>
      <c r="C5" s="16" t="inlineStr">
        <is>
          <t>Kubernetes I</t>
        </is>
      </c>
      <c r="D5" s="16" t="inlineStr">
        <is>
          <t>Most sizable modern applications run on Kubernetes. It's the common ground of platform, SRE, cloud and DevOps work.</t>
        </is>
      </c>
      <c r="E5" s="16" t="inlineStr">
        <is>
          <t>Nobody. This is the core of the challenge.</t>
        </is>
      </c>
      <c r="F5" s="16" t="inlineStr">
        <is>
          <t>Run a local cluster, deploy your Week 2 image with a Deployment and Service, scale it, roll it back.</t>
        </is>
      </c>
      <c r="G5" s="16" t="inlineStr">
        <is>
          <t>Hands On Kubernetes: https://www.readyforprod.cloud/courses/hands-on-kubernetes</t>
        </is>
      </c>
      <c r="H5" s="17" t="n"/>
      <c r="I5" s="17" t="n"/>
    </row>
    <row r="6" ht="75" customHeight="1">
      <c r="A6" s="16" t="n">
        <v>4</v>
      </c>
      <c r="B6" s="16" t="inlineStr">
        <is>
          <t>22–28</t>
        </is>
      </c>
      <c r="C6" s="16" t="inlineStr">
        <is>
          <t>Kubernetes II: production basics</t>
        </is>
      </c>
      <c r="D6" s="16" t="inlineStr">
        <is>
          <t>The difference between 'it runs' and 'it's production-ready': config, secrets, health checks, resources, storage.</t>
        </is>
      </c>
      <c r="E6" s="16" t="inlineStr">
        <is>
          <t>Nobody.</t>
        </is>
      </c>
      <c r="F6" s="16" t="inlineStr">
        <is>
          <t>Add ConfigMap/Secret, probes and requests/limits to your app; know when to use a Job, CronJob or Deployment; use a PVC; solve the 6 Broken Kubernetes exercises.</t>
        </is>
      </c>
      <c r="G6" s="16" t="inlineStr">
        <is>
          <t>k8s Production Readiness: https://www.readyforprod.cloud/courses/k8s-production-readiness</t>
        </is>
      </c>
      <c r="H6" s="17" t="n"/>
      <c r="I6" s="17" t="n"/>
    </row>
    <row r="7" ht="75" customHeight="1">
      <c r="A7" s="16" t="n">
        <v>5</v>
      </c>
      <c r="B7" s="16" t="inlineStr">
        <is>
          <t>29–35</t>
        </is>
      </c>
      <c r="C7" s="16" t="inlineStr">
        <is>
          <t>Checkpoint 1: projects + self-check</t>
        </is>
      </c>
      <c r="D7" s="16" t="inlineStr">
        <is>
          <t>Proof you can do it, not just watch it. This becomes your first portfolio piece.</t>
        </is>
      </c>
      <c r="E7" s="16" t="inlineStr">
        <is>
          <t>Nobody.</t>
        </is>
      </c>
      <c r="F7" s="16" t="inlineStr">
        <is>
          <t>Finish Checkpoint 1 project, fix the broken YAML exercise, complete the Week 5 self-check.</t>
        </is>
      </c>
      <c r="G7" s="16" t="inlineStr"/>
      <c r="H7" s="17" t="n"/>
      <c r="I7" s="17" t="n"/>
    </row>
    <row r="8" ht="75" customHeight="1">
      <c r="A8" s="16" t="n">
        <v>6</v>
      </c>
      <c r="B8" s="16" t="inlineStr">
        <is>
          <t>36–42</t>
        </is>
      </c>
      <c r="C8" s="16" t="inlineStr">
        <is>
          <t>CI/CD with GitHub Actions</t>
        </is>
      </c>
      <c r="D8" s="16" t="inlineStr">
        <is>
          <t>Automating build, test and deploy is the heart of DevOps and platform work.</t>
        </is>
      </c>
      <c r="E8" s="16" t="inlineStr">
        <is>
          <t>You already maintain pipelines at work.</t>
        </is>
      </c>
      <c r="F8" s="16" t="inlineStr">
        <is>
          <t>A pipeline that builds and tests on every push and publishes your container image.</t>
        </is>
      </c>
      <c r="G8" s="16" t="inlineStr">
        <is>
          <t>Learning GitHub Actions for DevOps CI/CD: https://www.readyforprod.cloud/courses/learning-github-actions</t>
        </is>
      </c>
      <c r="H8" s="17" t="n"/>
      <c r="I8" s="17" t="n"/>
    </row>
    <row r="9" ht="75" customHeight="1">
      <c r="A9" s="16" t="n">
        <v>7</v>
      </c>
      <c r="B9" s="16" t="inlineStr">
        <is>
          <t>43–49</t>
        </is>
      </c>
      <c r="C9" s="16" t="inlineStr">
        <is>
          <t>Cloud for admins (Azure)</t>
        </is>
      </c>
      <c r="D9" s="16" t="inlineStr">
        <is>
          <t>Admin jobs are moving to the cloud. The concepts (networks, identity, resource groups) carry over to every cloud.</t>
        </is>
      </c>
      <c r="E9" s="16" t="inlineStr">
        <is>
          <t>Committed to AWS or GCP? Learn the same concepts there instead.</t>
        </is>
      </c>
      <c r="F9" s="16" t="inlineStr">
        <is>
          <t>Create and clean up resources, understand VNets and identities (Managed Identity vs Service Principal).</t>
        </is>
      </c>
      <c r="G9" s="16" t="inlineStr">
        <is>
          <t>AZ-900 Quick Prep: https://www.readyforprod.cloud/courses/az900-azure-fundamentals · Learning Microsoft Azure: https://www.readyforprod.cloud/courses/learning-microsoft-azure</t>
        </is>
      </c>
      <c r="H9" s="17" t="n"/>
      <c r="I9" s="17" t="n"/>
    </row>
    <row r="10" ht="75" customHeight="1">
      <c r="A10" s="16" t="n">
        <v>8</v>
      </c>
      <c r="B10" s="16" t="inlineStr">
        <is>
          <t>50–56</t>
        </is>
      </c>
      <c r="C10" s="16" t="inlineStr">
        <is>
          <t>Terraform (infrastructure as code)</t>
        </is>
      </c>
      <c r="D10" s="16" t="inlineStr">
        <is>
          <t>The modern way enterprises create infrastructure reliably, predictably and repeatably.</t>
        </is>
      </c>
      <c r="E10" s="16" t="inlineStr">
        <is>
          <t>Truly never going to touch infrastructure? Try Day 50. If it's honestly not for you, skip to Week 9.</t>
        </is>
      </c>
      <c r="F10" s="16" t="inlineStr">
        <is>
          <t>Write, plan, apply and destroy infrastructure with Terraform; understand state and variables.</t>
        </is>
      </c>
      <c r="G10" s="16" t="inlineStr">
        <is>
          <t>Terraform For GenAI DevOps Engineer: https://www.readyforprod.cloud/courses/terraform-for-devops</t>
        </is>
      </c>
      <c r="H10" s="17" t="n"/>
      <c r="I10" s="17" t="n"/>
    </row>
    <row r="11" ht="75" customHeight="1">
      <c r="A11" s="16" t="n">
        <v>9</v>
      </c>
      <c r="B11" s="16" t="inlineStr">
        <is>
          <t>57–63</t>
        </is>
      </c>
      <c r="C11" s="16" t="inlineStr">
        <is>
          <t>Checkpoint 2: end-to-end project</t>
        </is>
      </c>
      <c r="D11" s="16" t="inlineStr">
        <is>
          <t>End-to-end proof for your CV: pipeline, infrastructure and app working together.</t>
        </is>
      </c>
      <c r="E11" s="16" t="inlineStr">
        <is>
          <t>Nobody.</t>
        </is>
      </c>
      <c r="F11" s="16" t="inlineStr">
        <is>
          <t>Finish Checkpoint 2 project and the 'find the problems in this pipeline' exercise; Week 9 self-check.</t>
        </is>
      </c>
      <c r="G11" s="16" t="inlineStr"/>
      <c r="H11" s="17" t="n"/>
      <c r="I11" s="17" t="n"/>
    </row>
    <row r="12" ht="75" customHeight="1">
      <c r="A12" s="16" t="n">
        <v>10</v>
      </c>
      <c r="B12" s="16" t="inlineStr">
        <is>
          <t>64–70</t>
        </is>
      </c>
      <c r="C12" s="16" t="inlineStr">
        <is>
          <t>AI in DevOps and SRE</t>
        </is>
      </c>
      <c r="D12" s="16" t="inlineStr">
        <is>
          <t>Where the market is heading. Use AI to troubleshoot faster, and learn to run AI apps as just another workload.</t>
        </is>
      </c>
      <c r="E12" s="16" t="inlineStr">
        <is>
          <t>Nobody.</t>
        </is>
      </c>
      <c r="F12" s="16" t="inlineStr">
        <is>
          <t>Troubleshoot with AI safely, understand logs vs metrics, run a small AI app as a workload.</t>
        </is>
      </c>
      <c r="G12" s="16" t="inlineStr">
        <is>
          <t>ChatGPT for DevOps: https://www.readyforprod.cloud/courses/chatgpt-for-devops · n8n Masterclass: https://www.readyforprod.cloud/courses/n8n-masterclass</t>
        </is>
      </c>
      <c r="H12" s="17" t="n"/>
      <c r="I12" s="17" t="n"/>
    </row>
    <row r="13" ht="75" customHeight="1">
      <c r="A13" s="16" t="n">
        <v>11</v>
      </c>
      <c r="B13" s="16" t="inlineStr">
        <is>
          <t>71–75</t>
        </is>
      </c>
      <c r="C13" s="16" t="inlineStr">
        <is>
          <t>Capstone + pick your path</t>
        </is>
      </c>
      <c r="D13" s="16" t="inlineStr">
        <is>
          <t>Turn 75 days into a story you can tell in an interview, and choose where to go deep next.</t>
        </is>
      </c>
      <c r="E13" s="16" t="inlineStr">
        <is>
          <t>Nobody.</t>
        </is>
      </c>
      <c r="F13" s="16" t="inlineStr">
        <is>
          <t>Capstone done, final self-check, 3 CV bullets written, next path chosen.</t>
        </is>
      </c>
      <c r="G13" s="16" t="inlineStr">
        <is>
          <t>The whole path, with your challenge price: https://www.readyforprod.cloud/bundles/ai-enabled-devops-sre?coupon=UPGRADE75</t>
        </is>
      </c>
      <c r="H13" s="17" t="n"/>
      <c r="I13" s="17" t="n"/>
    </row>
  </sheetData>
  <conditionalFormatting sqref="H2:H13">
    <cfRule type="expression" priority="1" dxfId="0">
      <formula>$H2="Yes"</formula>
    </cfRule>
    <cfRule type="expression" priority="2" dxfId="1">
      <formula>$H2="No"</formula>
    </cfRule>
    <cfRule type="expression" priority="3" dxfId="2">
      <formula>$H2="Partly"</formula>
    </cfRule>
    <cfRule type="expression" priority="4" dxfId="3">
      <formula>$H2="Skipped"</formula>
    </cfRule>
  </conditionalFormatting>
  <dataValidations count="1">
    <dataValidation sqref="H2:H13" showDropDown="0" showInputMessage="0" showErrorMessage="0" allowBlank="1" type="list">
      <formula1>"Yes,Partly,No,Skipped"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4" customWidth="1" min="1" max="1"/>
    <col width="70" customWidth="1" min="2" max="2"/>
    <col width="11" customWidth="1" min="3" max="3"/>
    <col width="11" customWidth="1" min="4" max="4"/>
    <col width="11" customWidth="1" min="5" max="5"/>
    <col width="11" customWidth="1" min="6" max="6"/>
  </cols>
  <sheetData>
    <row r="1" ht="30" customHeight="1">
      <c r="A1" s="13" t="inlineStr">
        <is>
          <t>#</t>
        </is>
      </c>
      <c r="B1" s="13" t="inlineStr">
        <is>
          <t>Can I…</t>
        </is>
      </c>
      <c r="C1" s="13" t="inlineStr">
        <is>
          <t>Start</t>
        </is>
      </c>
      <c r="D1" s="13" t="inlineStr">
        <is>
          <t>Week 5</t>
        </is>
      </c>
      <c r="E1" s="13" t="inlineStr">
        <is>
          <t>Week 9</t>
        </is>
      </c>
      <c r="F1" s="13" t="inlineStr">
        <is>
          <t>Week 11</t>
        </is>
      </c>
    </row>
    <row r="2">
      <c r="A2" s="16" t="n">
        <v>1</v>
      </c>
      <c r="B2" s="16" t="inlineStr">
        <is>
          <t>move around folders and edit files in a Linux terminal?</t>
        </is>
      </c>
      <c r="C2" s="17" t="n"/>
      <c r="D2" s="17" t="n"/>
      <c r="E2" s="17" t="n"/>
      <c r="F2" s="17" t="n"/>
    </row>
    <row r="3">
      <c r="A3" s="16" t="n">
        <v>2</v>
      </c>
      <c r="B3" s="16" t="inlineStr">
        <is>
          <t>clone a Git repo, commit and push a change?</t>
        </is>
      </c>
      <c r="C3" s="17" t="n"/>
      <c r="D3" s="17" t="n"/>
      <c r="E3" s="17" t="n"/>
      <c r="F3" s="17" t="n"/>
    </row>
    <row r="4">
      <c r="A4" s="16" t="n">
        <v>3</v>
      </c>
      <c r="B4" s="16" t="inlineStr">
        <is>
          <t>explain what a container is and how it differs from a VM?</t>
        </is>
      </c>
      <c r="C4" s="17" t="n"/>
      <c r="D4" s="17" t="n"/>
      <c r="E4" s="17" t="n"/>
      <c r="F4" s="17" t="n"/>
    </row>
    <row r="5">
      <c r="A5" s="16" t="n">
        <v>4</v>
      </c>
      <c r="B5" s="16" t="inlineStr">
        <is>
          <t>explain what Kubernetes does, to a friend?</t>
        </is>
      </c>
      <c r="C5" s="17" t="n"/>
      <c r="D5" s="17" t="n"/>
      <c r="E5" s="17" t="n"/>
      <c r="F5" s="17" t="n"/>
    </row>
    <row r="6">
      <c r="A6" s="16" t="n">
        <v>5</v>
      </c>
      <c r="B6" s="16" t="inlineStr">
        <is>
          <t>deploy an app built from a Dockerfile to Kubernetes?</t>
        </is>
      </c>
      <c r="C6" s="17" t="n"/>
      <c r="D6" s="17" t="n"/>
      <c r="E6" s="17" t="n"/>
      <c r="F6" s="17" t="n"/>
    </row>
    <row r="7">
      <c r="A7" s="16" t="n">
        <v>6</v>
      </c>
      <c r="B7" s="16" t="inlineStr">
        <is>
          <t>explain when to use a Job, a CronJob or a Deployment?</t>
        </is>
      </c>
      <c r="C7" s="17" t="n"/>
      <c r="D7" s="17" t="n"/>
      <c r="E7" s="17" t="n"/>
      <c r="F7" s="17" t="n"/>
    </row>
    <row r="8">
      <c r="A8" s="16" t="n">
        <v>7</v>
      </c>
      <c r="B8" s="16" t="inlineStr">
        <is>
          <t>use a PersistentVolumeClaim comfortably?</t>
        </is>
      </c>
      <c r="C8" s="17" t="n"/>
      <c r="D8" s="17" t="n"/>
      <c r="E8" s="17" t="n"/>
      <c r="F8" s="17" t="n"/>
    </row>
    <row r="9">
      <c r="A9" s="16" t="n">
        <v>8</v>
      </c>
      <c r="B9" s="16" t="inlineStr">
        <is>
          <t>say why a Kubernetes YAML is NOT production-ready (probes, limits, secrets, image tags)?</t>
        </is>
      </c>
      <c r="C9" s="17" t="n"/>
      <c r="D9" s="17" t="n"/>
      <c r="E9" s="17" t="n"/>
      <c r="F9" s="17" t="n"/>
    </row>
    <row r="10">
      <c r="A10" s="16" t="n">
        <v>9</v>
      </c>
      <c r="B10" s="16" t="inlineStr">
        <is>
          <t>build a CI/CD pipeline that builds and tests on every push?</t>
        </is>
      </c>
      <c r="C10" s="17" t="n"/>
      <c r="D10" s="17" t="n"/>
      <c r="E10" s="17" t="n"/>
      <c r="F10" s="17" t="n"/>
    </row>
    <row r="11">
      <c r="A11" s="16" t="n">
        <v>10</v>
      </c>
      <c r="B11" s="16" t="inlineStr">
        <is>
          <t>create something in a cloud and clean it up again?</t>
        </is>
      </c>
      <c r="C11" s="17" t="n"/>
      <c r="D11" s="17" t="n"/>
      <c r="E11" s="17" t="n"/>
      <c r="F11" s="17" t="n"/>
    </row>
    <row r="12">
      <c r="A12" s="16" t="n">
        <v>11</v>
      </c>
      <c r="B12" s="16" t="inlineStr">
        <is>
          <t>explain what infrastructure as code means, and use Terraform plan/apply?</t>
        </is>
      </c>
      <c r="C12" s="17" t="n"/>
      <c r="D12" s="17" t="n"/>
      <c r="E12" s="17" t="n"/>
      <c r="F12" s="17" t="n"/>
    </row>
    <row r="13">
      <c r="A13" s="16" t="n">
        <v>12</v>
      </c>
      <c r="B13" s="16" t="inlineStr">
        <is>
          <t>use an AI assistant at work safely, at least once a week?</t>
        </is>
      </c>
      <c r="C13" s="17" t="n"/>
      <c r="D13" s="17" t="n"/>
      <c r="E13" s="17" t="n"/>
      <c r="F13" s="17" t="n"/>
    </row>
    <row r="15">
      <c r="A15" t="inlineStr"/>
      <c r="B15" s="19" t="inlineStr">
        <is>
          <t>My level (count of Yes)</t>
        </is>
      </c>
      <c r="C15" s="19">
        <f>COUNTIF(C2:C13,"Yes")</f>
        <v/>
      </c>
      <c r="D15" s="19">
        <f>COUNTIF(D2:D13,"Yes")</f>
        <v/>
      </c>
      <c r="E15" s="19">
        <f>COUNTIF(E2:E13,"Yes")</f>
        <v/>
      </c>
      <c r="F15" s="19">
        <f>COUNTIF(F2:F13,"Yes")</f>
        <v/>
      </c>
    </row>
    <row r="16">
      <c r="A16" t="inlineStr"/>
      <c r="B16" s="19" t="inlineStr">
        <is>
          <t>Level</t>
        </is>
      </c>
      <c r="C16" s="19">
        <f>IF(C15&gt;=9,"Intermediate",IF(C15&gt;=5,"Working","Starter"))</f>
        <v/>
      </c>
      <c r="D16" s="19">
        <f>IF(D15&gt;=9,"Intermediate",IF(D15&gt;=5,"Working","Starter"))</f>
        <v/>
      </c>
      <c r="E16" s="19">
        <f>IF(E15&gt;=9,"Intermediate",IF(E15&gt;=5,"Working","Starter"))</f>
        <v/>
      </c>
      <c r="F16" s="19">
        <f>IF(F15&gt;=9,"Intermediate",IF(F15&gt;=5,"Working","Starter"))</f>
        <v/>
      </c>
    </row>
    <row r="18">
      <c r="B18" s="20" t="inlineStr">
        <is>
          <t>Levels: 0–4 Yes = Starter · 5–8 = Working · 9–12 = Intermediate. Nobody is an 'expert'; everyone keeps exploring.</t>
        </is>
      </c>
    </row>
  </sheetData>
  <conditionalFormatting sqref="C2:C13">
    <cfRule type="expression" priority="1" dxfId="0">
      <formula>C2="Yes"</formula>
    </cfRule>
    <cfRule type="expression" priority="2" dxfId="2">
      <formula>C2="Somewhat"</formula>
    </cfRule>
    <cfRule type="expression" priority="3" dxfId="1">
      <formula>C2="No"</formula>
    </cfRule>
  </conditionalFormatting>
  <conditionalFormatting sqref="D2:D13">
    <cfRule type="expression" priority="4" dxfId="0">
      <formula>D2="Yes"</formula>
    </cfRule>
    <cfRule type="expression" priority="5" dxfId="2">
      <formula>D2="Somewhat"</formula>
    </cfRule>
    <cfRule type="expression" priority="6" dxfId="1">
      <formula>D2="No"</formula>
    </cfRule>
  </conditionalFormatting>
  <conditionalFormatting sqref="E2:E13">
    <cfRule type="expression" priority="7" dxfId="0">
      <formula>E2="Yes"</formula>
    </cfRule>
    <cfRule type="expression" priority="8" dxfId="2">
      <formula>E2="Somewhat"</formula>
    </cfRule>
    <cfRule type="expression" priority="9" dxfId="1">
      <formula>E2="No"</formula>
    </cfRule>
  </conditionalFormatting>
  <conditionalFormatting sqref="F2:F13">
    <cfRule type="expression" priority="10" dxfId="0">
      <formula>F2="Yes"</formula>
    </cfRule>
    <cfRule type="expression" priority="11" dxfId="2">
      <formula>F2="Somewhat"</formula>
    </cfRule>
    <cfRule type="expression" priority="12" dxfId="1">
      <formula>F2="No"</formula>
    </cfRule>
  </conditionalFormatting>
  <dataValidations count="1">
    <dataValidation sqref="C2:F13" showDropDown="0" showInputMessage="0" showErrorMessage="0" allowBlank="1" type="list">
      <formula1>"Yes,Somewhat,No"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70" customWidth="1" min="3" max="3"/>
    <col width="12" customWidth="1" min="4" max="4"/>
    <col width="45" customWidth="1" min="5" max="5"/>
  </cols>
  <sheetData>
    <row r="1" ht="30" customHeight="1">
      <c r="A1" s="13" t="inlineStr">
        <is>
          <t>Project</t>
        </is>
      </c>
      <c r="B1" s="13" t="inlineStr">
        <is>
          <t>Opens</t>
        </is>
      </c>
      <c r="C1" s="13" t="inlineStr">
        <is>
          <t>Brief</t>
        </is>
      </c>
      <c r="D1" s="13" t="inlineStr">
        <is>
          <t>Status</t>
        </is>
      </c>
      <c r="E1" s="13" t="inlineStr">
        <is>
          <t>Link to my work</t>
        </is>
      </c>
    </row>
    <row r="2" ht="60" customHeight="1">
      <c r="A2" s="21" t="inlineStr">
        <is>
          <t>Checkpoint 1: app on Kubernetes</t>
        </is>
      </c>
      <c r="B2" s="16" t="inlineStr">
        <is>
          <t>Week 5</t>
        </is>
      </c>
      <c r="C2" s="16" t="inlineStr">
        <is>
          <t>Run the 2-tier Notes app (Flask + Redis) on kind the production-ready way: namespace, Secret, ConfigMap, probes, limits, 2 replicas, and notes that survive a Redis restart (PVC).</t>
        </is>
      </c>
      <c r="D2" s="17" t="n"/>
      <c r="E2" s="17" t="n"/>
    </row>
    <row r="3" ht="60" customHeight="1">
      <c r="A3" s="21" t="inlineStr">
        <is>
          <t>Checkpoint 2: end to end</t>
        </is>
      </c>
      <c r="B3" s="16" t="inlineStr">
        <is>
          <t>Week 9</t>
        </is>
      </c>
      <c r="C3" s="16" t="inlineStr">
        <is>
          <t>Every push to main tests, builds (SHA-tagged image) and deploys the Notes app onto a platform Terraform creates, with a smoke test that turns the pipeline red if the app is broken. Plus the flawed-pipeline review.</t>
        </is>
      </c>
      <c r="D3" s="17" t="n"/>
      <c r="E3" s="17" t="n"/>
    </row>
    <row r="4" ht="60" customHeight="1">
      <c r="A4" s="21" t="inlineStr">
        <is>
          <t>Capstone: AI app to production</t>
        </is>
      </c>
      <c r="B4" s="16" t="inlineStr">
        <is>
          <t>Week 11</t>
        </is>
      </c>
      <c r="C4" s="16" t="inlineStr">
        <is>
          <t>Run the Error Explainer AI app like any production workload: secrets never reach the LLM, health checks, metrics, timeouts, a runbook. Then pick your path and write 3 CV bullets.</t>
        </is>
      </c>
      <c r="D4" s="17" t="n"/>
      <c r="E4" s="17" t="n"/>
    </row>
  </sheetData>
  <dataValidations count="1">
    <dataValidation sqref="D2:D4" showDropDown="0" showInputMessage="0" showErrorMessage="0" allowBlank="1" type="list">
      <formula1>"Not started,In progress,Done"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2026-10-14T17:51:09Z</dcterms:created>
  <dcterms:modified xmlns:dcterms="http://purl.org/dc/terms/" xmlns:xsi="http://www.w3.org/2001/XMLSchema-instance" xsi:type="dcterms:W3CDTF">2026-10-14T17:51:09Z</dcterms:modified>
</cp:coreProperties>
</file>